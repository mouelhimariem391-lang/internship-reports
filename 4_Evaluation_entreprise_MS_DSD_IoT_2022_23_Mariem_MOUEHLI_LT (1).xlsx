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C:\Users\leonard.tan\Downloads\"/>
    </mc:Choice>
  </mc:AlternateContent>
  <xr:revisionPtr revIDLastSave="0" documentId="8_{BEA363F3-5252-4672-93BC-904CED79A9B2}" xr6:coauthVersionLast="47" xr6:coauthVersionMax="47" xr10:uidLastSave="{00000000-0000-0000-0000-000000000000}"/>
  <bookViews>
    <workbookView xWindow="-80" yWindow="-80" windowWidth="19360" windowHeight="10240" activeTab="1" xr2:uid="{00000000-000D-0000-FFFF-FFFF00000000}"/>
  </bookViews>
  <sheets>
    <sheet name="Explications" sheetId="4" r:id="rId1"/>
    <sheet name="Grille d'évalu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9" i="2" l="1"/>
  <c r="R120" i="2" l="1"/>
  <c r="R103" i="2" l="1"/>
  <c r="R89" i="2"/>
  <c r="R74" i="2"/>
  <c r="H13" i="2" l="1"/>
  <c r="H10" i="2"/>
  <c r="H7" i="2"/>
  <c r="H16" i="2"/>
  <c r="H19" i="2"/>
  <c r="H22" i="2"/>
  <c r="C55" i="2"/>
  <c r="C116" i="2"/>
  <c r="S119" i="2" s="1"/>
  <c r="C100" i="2"/>
  <c r="C85" i="2"/>
  <c r="S89" i="2" s="1"/>
  <c r="C70" i="2"/>
  <c r="S73" i="2" s="1"/>
  <c r="S102" i="2" l="1"/>
  <c r="S103" i="2"/>
  <c r="S88" i="2"/>
  <c r="S120" i="2"/>
  <c r="O30" i="2"/>
  <c r="O34" i="2" s="1"/>
  <c r="S59" i="2"/>
  <c r="S58" i="2"/>
  <c r="S74" i="2"/>
  <c r="O134" i="2" l="1"/>
  <c r="R134" i="2" s="1"/>
  <c r="O13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VILLOT Jonathan</author>
    <author>VJ</author>
  </authors>
  <commentList>
    <comment ref="A7" authorId="0" shapeId="0" xr:uid="{00000000-0006-0000-0100-000001000000}">
      <text>
        <r>
          <rPr>
            <sz val="8"/>
            <color rgb="FF000000"/>
            <rFont val="Tahoma"/>
            <family val="2"/>
          </rPr>
          <t>Savoir d'adapter à tout type de situations, anticiper et maîtriser l'imprévu</t>
        </r>
      </text>
    </comment>
    <comment ref="H7" authorId="0" shapeId="0" xr:uid="{00000000-0006-0000-0100-000002000000}">
      <text>
        <r>
          <rPr>
            <sz val="8"/>
            <color rgb="FF000000"/>
            <rFont val="Tahoma"/>
            <family val="2"/>
          </rPr>
          <t>Utiliser la barre de défilement ci-dessous pour modifier la valeur associée à la qualité 1</t>
        </r>
        <r>
          <rPr>
            <sz val="9"/>
            <color rgb="FF000000"/>
            <rFont val="Tahoma"/>
            <family val="2"/>
          </rPr>
          <t xml:space="preserve">
</t>
        </r>
      </text>
    </comment>
    <comment ref="A10" authorId="0" shapeId="0" xr:uid="{00000000-0006-0000-0100-000003000000}">
      <text>
        <r>
          <rPr>
            <sz val="8"/>
            <color indexed="81"/>
            <rFont val="Tahoma"/>
            <family val="2"/>
          </rPr>
          <t>Emporter l'adhésion et forcer le succès par son comportement</t>
        </r>
        <r>
          <rPr>
            <sz val="9"/>
            <color indexed="81"/>
            <rFont val="Tahoma"/>
            <family val="2"/>
          </rPr>
          <t xml:space="preserve">
</t>
        </r>
      </text>
    </comment>
    <comment ref="H10" authorId="0" shapeId="0" xr:uid="{00000000-0006-0000-0100-000004000000}">
      <text>
        <r>
          <rPr>
            <sz val="8"/>
            <color indexed="81"/>
            <rFont val="Tahoma"/>
            <family val="2"/>
          </rPr>
          <t>Utiliser la barre de défilement ci-dessous pour modifier la valeur associée à la qualité 2</t>
        </r>
        <r>
          <rPr>
            <sz val="9"/>
            <color indexed="81"/>
            <rFont val="Tahoma"/>
            <family val="2"/>
          </rPr>
          <t xml:space="preserve">
</t>
        </r>
      </text>
    </comment>
    <comment ref="A13" authorId="0" shapeId="0" xr:uid="{00000000-0006-0000-0100-000005000000}">
      <text>
        <r>
          <rPr>
            <sz val="8"/>
            <color rgb="FF000000"/>
            <rFont val="Tahoma"/>
            <family val="2"/>
          </rPr>
          <t>Agir en leader éclairé et éclairant</t>
        </r>
        <r>
          <rPr>
            <sz val="9"/>
            <color rgb="FF000000"/>
            <rFont val="Tahoma"/>
            <family val="2"/>
          </rPr>
          <t xml:space="preserve">
</t>
        </r>
      </text>
    </comment>
    <comment ref="H13" authorId="0" shapeId="0" xr:uid="{00000000-0006-0000-0100-000006000000}">
      <text>
        <r>
          <rPr>
            <sz val="8"/>
            <color indexed="81"/>
            <rFont val="Tahoma"/>
            <family val="2"/>
          </rPr>
          <t>Utiliser la barre de défilement ci-dessous pour modifier la valeur associée à la qualité 3</t>
        </r>
        <r>
          <rPr>
            <sz val="9"/>
            <color indexed="81"/>
            <rFont val="Tahoma"/>
            <family val="2"/>
          </rPr>
          <t xml:space="preserve">
</t>
        </r>
      </text>
    </comment>
    <comment ref="A16" authorId="0" shapeId="0" xr:uid="{00000000-0006-0000-0100-000007000000}">
      <text>
        <r>
          <rPr>
            <sz val="8"/>
            <color indexed="81"/>
            <rFont val="Tahoma"/>
            <family val="2"/>
          </rPr>
          <t>Savoir écouter, comprendre et interagir avec son environnement</t>
        </r>
      </text>
    </comment>
    <comment ref="H16" authorId="0" shapeId="0" xr:uid="{00000000-0006-0000-0100-000008000000}">
      <text>
        <r>
          <rPr>
            <sz val="8"/>
            <color indexed="81"/>
            <rFont val="Tahoma"/>
            <family val="2"/>
          </rPr>
          <t>Utiliser la barre de défilement ci-dessous pour modifier la valeur associée à la qualité 4</t>
        </r>
        <r>
          <rPr>
            <sz val="9"/>
            <color indexed="81"/>
            <rFont val="Tahoma"/>
            <family val="2"/>
          </rPr>
          <t xml:space="preserve">
</t>
        </r>
      </text>
    </comment>
    <comment ref="A19" authorId="0" shapeId="0" xr:uid="{00000000-0006-0000-0100-000009000000}">
      <text>
        <r>
          <rPr>
            <sz val="8"/>
            <color indexed="81"/>
            <rFont val="Tahoma"/>
            <family val="2"/>
          </rPr>
          <t>Appuyer son jugement sur une analyse pertinente et efficace</t>
        </r>
        <r>
          <rPr>
            <sz val="9"/>
            <color indexed="81"/>
            <rFont val="Tahoma"/>
            <family val="2"/>
          </rPr>
          <t xml:space="preserve">
</t>
        </r>
      </text>
    </comment>
    <comment ref="H19" authorId="0" shapeId="0" xr:uid="{00000000-0006-0000-0100-00000A000000}">
      <text>
        <r>
          <rPr>
            <sz val="8"/>
            <color indexed="81"/>
            <rFont val="Tahoma"/>
            <family val="2"/>
          </rPr>
          <t>Utiliser la barre de défilement ci-dessous pour modifier la valeur associée à la qualité 4</t>
        </r>
        <r>
          <rPr>
            <sz val="9"/>
            <color indexed="81"/>
            <rFont val="Tahoma"/>
            <family val="2"/>
          </rPr>
          <t xml:space="preserve">
</t>
        </r>
      </text>
    </comment>
    <comment ref="A22" authorId="0" shapeId="0" xr:uid="{00000000-0006-0000-0100-00000B000000}">
      <text>
        <r>
          <rPr>
            <sz val="8"/>
            <color rgb="FF000000"/>
            <rFont val="Tahoma"/>
            <family val="2"/>
          </rPr>
          <t>Piloter des projets transverses et interdiciplinaires en mettant en avant son expertise</t>
        </r>
        <r>
          <rPr>
            <sz val="9"/>
            <color rgb="FF000000"/>
            <rFont val="Tahoma"/>
            <family val="2"/>
          </rPr>
          <t xml:space="preserve">
</t>
        </r>
      </text>
    </comment>
    <comment ref="H22" authorId="0" shapeId="0" xr:uid="{00000000-0006-0000-0100-00000C000000}">
      <text>
        <r>
          <rPr>
            <sz val="8"/>
            <color indexed="81"/>
            <rFont val="Tahoma"/>
            <family val="2"/>
          </rPr>
          <t>Utiliser la barre de défilement ci-dessous pour modifier la valeur associée à la qualité 6</t>
        </r>
      </text>
    </comment>
    <comment ref="O39" authorId="1" shapeId="0" xr:uid="{00000000-0006-0000-0100-00000D000000}">
      <text>
        <r>
          <rPr>
            <b/>
            <sz val="9"/>
            <color indexed="81"/>
            <rFont val="Tahoma"/>
            <family val="2"/>
          </rPr>
          <t>VJ:</t>
        </r>
        <r>
          <rPr>
            <sz val="9"/>
            <color indexed="81"/>
            <rFont val="Tahoma"/>
            <family val="2"/>
          </rPr>
          <t xml:space="preserve">
Définir ici la note finale </t>
        </r>
      </text>
    </comment>
    <comment ref="A49" authorId="0" shapeId="0" xr:uid="{00000000-0006-0000-0100-00000E000000}">
      <text>
        <r>
          <rPr>
            <sz val="8"/>
            <color indexed="81"/>
            <rFont val="Tahoma"/>
            <family val="2"/>
          </rPr>
          <t>Mentionner les missions principales (Maximum 5 dont la thèse professionnelle) sur lesquelles l'apprenant a été assigné</t>
        </r>
      </text>
    </comment>
    <comment ref="C49" authorId="0" shapeId="0" xr:uid="{00000000-0006-0000-0100-00000F000000}">
      <text>
        <r>
          <rPr>
            <b/>
            <sz val="9"/>
            <color rgb="FF000000"/>
            <rFont val="Tahoma"/>
            <family val="2"/>
          </rPr>
          <t>VILLOT Jonathan:</t>
        </r>
        <r>
          <rPr>
            <sz val="9"/>
            <color rgb="FF000000"/>
            <rFont val="Tahoma"/>
            <family val="2"/>
          </rPr>
          <t xml:space="preserve">
</t>
        </r>
        <r>
          <rPr>
            <sz val="9"/>
            <color rgb="FF000000"/>
            <rFont val="Tahoma"/>
            <family val="2"/>
          </rPr>
          <t>A compléter en mentionnant l'intitulé de la mission</t>
        </r>
      </text>
    </comment>
    <comment ref="C50" authorId="0" shapeId="0" xr:uid="{00000000-0006-0000-0100-000010000000}">
      <text>
        <r>
          <rPr>
            <b/>
            <sz val="9"/>
            <color indexed="81"/>
            <rFont val="Tahoma"/>
            <family val="2"/>
          </rPr>
          <t>VILLOT Jonathan:</t>
        </r>
        <r>
          <rPr>
            <sz val="9"/>
            <color indexed="81"/>
            <rFont val="Tahoma"/>
            <family val="2"/>
          </rPr>
          <t xml:space="preserve">
A compléter en mentionnant l'intitulé de la mission</t>
        </r>
      </text>
    </comment>
    <comment ref="C51" authorId="0" shapeId="0" xr:uid="{00000000-0006-0000-0100-000011000000}">
      <text>
        <r>
          <rPr>
            <b/>
            <sz val="9"/>
            <color rgb="FF000000"/>
            <rFont val="Tahoma"/>
            <family val="2"/>
          </rPr>
          <t>VILLOT Jonathan:</t>
        </r>
        <r>
          <rPr>
            <sz val="9"/>
            <color rgb="FF000000"/>
            <rFont val="Tahoma"/>
            <family val="2"/>
          </rPr>
          <t xml:space="preserve">
</t>
        </r>
        <r>
          <rPr>
            <sz val="9"/>
            <color rgb="FF000000"/>
            <rFont val="Tahoma"/>
            <family val="2"/>
          </rPr>
          <t>A compléter en mentionnant l'intitulé de la mission</t>
        </r>
      </text>
    </comment>
    <comment ref="C52" authorId="0" shapeId="0" xr:uid="{00000000-0006-0000-0100-000012000000}">
      <text>
        <r>
          <rPr>
            <b/>
            <sz val="9"/>
            <color indexed="81"/>
            <rFont val="Tahoma"/>
            <family val="2"/>
          </rPr>
          <t>VILLOT Jonathan:</t>
        </r>
        <r>
          <rPr>
            <sz val="9"/>
            <color indexed="81"/>
            <rFont val="Tahoma"/>
            <family val="2"/>
          </rPr>
          <t xml:space="preserve">
A compléter en mentionnant l'intitulé de la mission</t>
        </r>
      </text>
    </comment>
    <comment ref="C53" authorId="0" shapeId="0" xr:uid="{00000000-0006-0000-0100-000013000000}">
      <text>
        <r>
          <rPr>
            <b/>
            <sz val="9"/>
            <color indexed="81"/>
            <rFont val="Tahoma"/>
            <family val="2"/>
          </rPr>
          <t>VILLOT Jonathan:</t>
        </r>
        <r>
          <rPr>
            <sz val="9"/>
            <color indexed="81"/>
            <rFont val="Tahoma"/>
            <family val="2"/>
          </rPr>
          <t xml:space="preserve">
A compléter en mentionnant l'intitulé de la mission</t>
        </r>
      </text>
    </comment>
    <comment ref="I57" authorId="0" shapeId="0" xr:uid="{00000000-0006-0000-0100-000014000000}">
      <text>
        <r>
          <rPr>
            <sz val="8"/>
            <color indexed="81"/>
            <rFont val="Tahoma"/>
            <family val="2"/>
          </rPr>
          <t>Utiliser la barre de défilement ci-dessous pour modifier la valeur associée au degré de satisfaction.</t>
        </r>
      </text>
    </comment>
    <comment ref="I58" authorId="0" shapeId="0" xr:uid="{00000000-0006-0000-0100-000015000000}">
      <text>
        <r>
          <rPr>
            <sz val="8"/>
            <color indexed="81"/>
            <rFont val="Tahoma"/>
            <family val="2"/>
          </rPr>
          <t>Les objectifs n'ont pas été atteints. L'apprenant n'a pas répondu aux attentes.</t>
        </r>
        <r>
          <rPr>
            <sz val="9"/>
            <color indexed="81"/>
            <rFont val="Tahoma"/>
            <family val="2"/>
          </rPr>
          <t xml:space="preserve">
</t>
        </r>
      </text>
    </comment>
    <comment ref="J58" authorId="0" shapeId="0" xr:uid="{00000000-0006-0000-0100-000016000000}">
      <text>
        <r>
          <rPr>
            <sz val="8"/>
            <color indexed="81"/>
            <rFont val="Tahoma"/>
            <family val="2"/>
          </rPr>
          <t>Les objectifs ont été partiellement atteints. Le bilan et les réponses aux attentes sont à minima et ne permettre pas de capitaliser les apports de l'apprenant sur la mission</t>
        </r>
      </text>
    </comment>
    <comment ref="K58" authorId="0" shapeId="0" xr:uid="{00000000-0006-0000-0100-000017000000}">
      <text>
        <r>
          <rPr>
            <sz val="8"/>
            <color indexed="81"/>
            <rFont val="Tahoma"/>
            <family val="2"/>
          </rPr>
          <t xml:space="preserve">Les objectifs ont tous été atteints à minima. L'apport de l'apprenant est visible à la marge et ne contribue que faiblement à la réussite du projet </t>
        </r>
      </text>
    </comment>
    <comment ref="L58" authorId="0" shapeId="0" xr:uid="{00000000-0006-0000-0100-000018000000}">
      <text>
        <r>
          <rPr>
            <sz val="8"/>
            <color indexed="81"/>
            <rFont val="Tahoma"/>
            <family val="2"/>
          </rPr>
          <t>Les objectifs ont tous été atteints à un niveau acceptable. L'apport de l'apprenant est important et contribue à la réussite du projet</t>
        </r>
      </text>
    </comment>
    <comment ref="M58" authorId="0" shapeId="0" xr:uid="{00000000-0006-0000-0100-000019000000}">
      <text>
        <r>
          <rPr>
            <sz val="8"/>
            <color indexed="81"/>
            <rFont val="Tahoma"/>
            <family val="2"/>
          </rPr>
          <t>Les objectifs ont tous été atteints de manière optimale. L'apport de l'apprenant contribue majoritairement à la réussite du projet</t>
        </r>
      </text>
    </comment>
    <comment ref="N58" authorId="0" shapeId="0" xr:uid="{00000000-0006-0000-0100-00001A000000}">
      <text>
        <r>
          <rPr>
            <sz val="8"/>
            <color indexed="81"/>
            <rFont val="Tahoma"/>
            <family val="2"/>
          </rPr>
          <t>Les objectifs ont été dépassés. L'apport de l'apprenant est supérieur au attentes exprimées.</t>
        </r>
      </text>
    </comment>
    <comment ref="C61" authorId="0" shapeId="0" xr:uid="{00000000-0006-0000-0100-00001B000000}">
      <text>
        <r>
          <rPr>
            <sz val="9"/>
            <color rgb="FF000000"/>
            <rFont val="Tahoma"/>
            <family val="2"/>
          </rPr>
          <t>Execute les consignes</t>
        </r>
      </text>
    </comment>
    <comment ref="D61" authorId="0" shapeId="0" xr:uid="{00000000-0006-0000-0100-00001C000000}">
      <text>
        <r>
          <rPr>
            <sz val="9"/>
            <color indexed="81"/>
            <rFont val="Tahoma"/>
            <family val="2"/>
          </rPr>
          <t>Acteur intéressé</t>
        </r>
      </text>
    </comment>
    <comment ref="E61" authorId="0" shapeId="0" xr:uid="{00000000-0006-0000-0100-00001D000000}">
      <text>
        <r>
          <rPr>
            <sz val="9"/>
            <color indexed="81"/>
            <rFont val="Tahoma"/>
            <family val="2"/>
          </rPr>
          <t>S'est approprié les tâches</t>
        </r>
      </text>
    </comment>
    <comment ref="F61" authorId="0" shapeId="0" xr:uid="{00000000-0006-0000-0100-00001E000000}">
      <text>
        <r>
          <rPr>
            <sz val="9"/>
            <color indexed="81"/>
            <rFont val="Tahoma"/>
            <family val="2"/>
          </rPr>
          <t>Leader/Pilote</t>
        </r>
      </text>
    </comment>
    <comment ref="G61" authorId="0" shapeId="0" xr:uid="{00000000-0006-0000-0100-00001F000000}">
      <text>
        <r>
          <rPr>
            <sz val="9"/>
            <color indexed="81"/>
            <rFont val="Tahoma"/>
            <family val="2"/>
          </rPr>
          <t>A proposé et conduit</t>
        </r>
      </text>
    </comment>
    <comment ref="B72" authorId="0" shapeId="0" xr:uid="{00000000-0006-0000-0100-000020000000}">
      <text>
        <r>
          <rPr>
            <sz val="8"/>
            <color indexed="81"/>
            <rFont val="Tahoma"/>
            <family val="2"/>
          </rPr>
          <t>Indiquer avec un "X" la combinaison adéquate</t>
        </r>
        <r>
          <rPr>
            <sz val="9"/>
            <color indexed="81"/>
            <rFont val="Tahoma"/>
            <family val="2"/>
          </rPr>
          <t xml:space="preserve">
</t>
        </r>
      </text>
    </comment>
    <comment ref="I72" authorId="0" shapeId="0" xr:uid="{00000000-0006-0000-0100-000021000000}">
      <text>
        <r>
          <rPr>
            <sz val="8"/>
            <color indexed="81"/>
            <rFont val="Tahoma"/>
            <family val="2"/>
          </rPr>
          <t>Utiliser la barre de défilement ci-dessous pour modifier la valeur associée au degré de satisfaction.</t>
        </r>
      </text>
    </comment>
    <comment ref="I73" authorId="0" shapeId="0" xr:uid="{00000000-0006-0000-0100-000022000000}">
      <text>
        <r>
          <rPr>
            <sz val="8"/>
            <color indexed="81"/>
            <rFont val="Tahoma"/>
            <family val="2"/>
          </rPr>
          <t>Les objectifs n'ont pas été atteints. L'apprenant n'a pas répondu aux attentes.</t>
        </r>
        <r>
          <rPr>
            <sz val="9"/>
            <color indexed="81"/>
            <rFont val="Tahoma"/>
            <family val="2"/>
          </rPr>
          <t xml:space="preserve">
</t>
        </r>
      </text>
    </comment>
    <comment ref="J73" authorId="0" shapeId="0" xr:uid="{00000000-0006-0000-0100-000023000000}">
      <text>
        <r>
          <rPr>
            <sz val="8"/>
            <color indexed="81"/>
            <rFont val="Tahoma"/>
            <family val="2"/>
          </rPr>
          <t>Les objectifs ont été partiellement atteints. Le bilan et les réponses aux attentes sont à minima et ne permettre pas de capitaliser les apports de l'apprenant sur la mission</t>
        </r>
      </text>
    </comment>
    <comment ref="K73" authorId="0" shapeId="0" xr:uid="{00000000-0006-0000-0100-000024000000}">
      <text>
        <r>
          <rPr>
            <sz val="8"/>
            <color indexed="81"/>
            <rFont val="Tahoma"/>
            <family val="2"/>
          </rPr>
          <t xml:space="preserve">Les objectifs ont tous été atteints à minima. L'apport de l'apprenant est visible à la marge et ne contribue que faiblement à la réussite du projet </t>
        </r>
      </text>
    </comment>
    <comment ref="L73" authorId="0" shapeId="0" xr:uid="{00000000-0006-0000-0100-000025000000}">
      <text>
        <r>
          <rPr>
            <sz val="8"/>
            <color indexed="81"/>
            <rFont val="Tahoma"/>
            <family val="2"/>
          </rPr>
          <t>Les objectifs ont tous été atteints à un niveau acceptable. L'apport de l'apprenant est important et contribue à la réussite du projet</t>
        </r>
      </text>
    </comment>
    <comment ref="M73" authorId="0" shapeId="0" xr:uid="{00000000-0006-0000-0100-000026000000}">
      <text>
        <r>
          <rPr>
            <sz val="8"/>
            <color indexed="81"/>
            <rFont val="Tahoma"/>
            <family val="2"/>
          </rPr>
          <t>Les objectifs ont tous été atteints de manière optimale. L'apport de l'apprenant contribue majoritairement à la réussite du projet</t>
        </r>
      </text>
    </comment>
    <comment ref="N73" authorId="0" shapeId="0" xr:uid="{00000000-0006-0000-0100-000027000000}">
      <text>
        <r>
          <rPr>
            <sz val="8"/>
            <color indexed="81"/>
            <rFont val="Tahoma"/>
            <family val="2"/>
          </rPr>
          <t>Les objectifs ont été dépassés. L'apport de l'apprenant est supérieur au attentes exprimées.</t>
        </r>
      </text>
    </comment>
    <comment ref="C76" authorId="0" shapeId="0" xr:uid="{00000000-0006-0000-0100-000028000000}">
      <text>
        <r>
          <rPr>
            <sz val="8"/>
            <color indexed="81"/>
            <rFont val="Tahoma"/>
            <family val="2"/>
          </rPr>
          <t>Execute les consignes</t>
        </r>
      </text>
    </comment>
    <comment ref="D76" authorId="0" shapeId="0" xr:uid="{00000000-0006-0000-0100-000029000000}">
      <text>
        <r>
          <rPr>
            <sz val="8"/>
            <color indexed="81"/>
            <rFont val="Tahoma"/>
            <family val="2"/>
          </rPr>
          <t>Acteur intéressé</t>
        </r>
      </text>
    </comment>
    <comment ref="E76" authorId="0" shapeId="0" xr:uid="{00000000-0006-0000-0100-00002A000000}">
      <text>
        <r>
          <rPr>
            <sz val="8"/>
            <color indexed="81"/>
            <rFont val="Tahoma"/>
            <family val="2"/>
          </rPr>
          <t>S'est approprié les tâches</t>
        </r>
      </text>
    </comment>
    <comment ref="F76" authorId="0" shapeId="0" xr:uid="{00000000-0006-0000-0100-00002B000000}">
      <text>
        <r>
          <rPr>
            <sz val="8"/>
            <color rgb="FF000000"/>
            <rFont val="Tahoma"/>
            <family val="2"/>
          </rPr>
          <t>Leader/Pilote</t>
        </r>
      </text>
    </comment>
    <comment ref="G76" authorId="0" shapeId="0" xr:uid="{00000000-0006-0000-0100-00002C000000}">
      <text>
        <r>
          <rPr>
            <sz val="8"/>
            <color indexed="81"/>
            <rFont val="Tahoma"/>
            <family val="2"/>
          </rPr>
          <t>A proposé et conduit</t>
        </r>
      </text>
    </comment>
    <comment ref="B87" authorId="0" shapeId="0" xr:uid="{00000000-0006-0000-0100-00002D000000}">
      <text>
        <r>
          <rPr>
            <b/>
            <sz val="8"/>
            <color indexed="81"/>
            <rFont val="Tahoma"/>
            <family val="2"/>
          </rPr>
          <t xml:space="preserve">Indiquer avec un "X" la combinaison adéquate
</t>
        </r>
      </text>
    </comment>
    <comment ref="I87" authorId="0" shapeId="0" xr:uid="{00000000-0006-0000-0100-00002E000000}">
      <text>
        <r>
          <rPr>
            <sz val="8"/>
            <color indexed="81"/>
            <rFont val="Tahoma"/>
            <family val="2"/>
          </rPr>
          <t>Utiliser la barre de défilement ci-dessous pour modifier la valeur associée au degré de satisfaction.</t>
        </r>
      </text>
    </comment>
    <comment ref="I88" authorId="0" shapeId="0" xr:uid="{00000000-0006-0000-0100-00002F000000}">
      <text>
        <r>
          <rPr>
            <sz val="8"/>
            <color indexed="81"/>
            <rFont val="Tahoma"/>
            <family val="2"/>
          </rPr>
          <t>Les objectifs n'ont pas été atteints. L'apprenant n'a pas répondu aux attentes.</t>
        </r>
        <r>
          <rPr>
            <sz val="9"/>
            <color indexed="81"/>
            <rFont val="Tahoma"/>
            <family val="2"/>
          </rPr>
          <t xml:space="preserve">
</t>
        </r>
      </text>
    </comment>
    <comment ref="J88" authorId="0" shapeId="0" xr:uid="{00000000-0006-0000-0100-000030000000}">
      <text>
        <r>
          <rPr>
            <sz val="8"/>
            <color indexed="81"/>
            <rFont val="Tahoma"/>
            <family val="2"/>
          </rPr>
          <t>Les objectifs ont été partiellement atteints. Le bilan et les réponses aux attentes sont à minima et ne permettre pas de capitaliser les apports de l'apprenant sur la mission</t>
        </r>
      </text>
    </comment>
    <comment ref="K88" authorId="0" shapeId="0" xr:uid="{00000000-0006-0000-0100-000031000000}">
      <text>
        <r>
          <rPr>
            <sz val="8"/>
            <color indexed="81"/>
            <rFont val="Tahoma"/>
            <family val="2"/>
          </rPr>
          <t xml:space="preserve">Les objectifs ont tous été atteints à minima. L'apport de l'apprenant est visible à la marge et ne contribue que faiblement à la réussite du projet </t>
        </r>
      </text>
    </comment>
    <comment ref="L88" authorId="0" shapeId="0" xr:uid="{00000000-0006-0000-0100-000032000000}">
      <text>
        <r>
          <rPr>
            <sz val="8"/>
            <color indexed="81"/>
            <rFont val="Tahoma"/>
            <family val="2"/>
          </rPr>
          <t>Les objectifs ont tous été atteints à un niveau acceptable. L'apport de l'apprenant est important et contribue à la réussite du projet</t>
        </r>
      </text>
    </comment>
    <comment ref="M88" authorId="0" shapeId="0" xr:uid="{00000000-0006-0000-0100-000033000000}">
      <text>
        <r>
          <rPr>
            <sz val="8"/>
            <color indexed="81"/>
            <rFont val="Tahoma"/>
            <family val="2"/>
          </rPr>
          <t>Les objectifs ont tous été atteints de manière optimale. L'apport de l'apprenant contribue majoritairement à la réussite du projet</t>
        </r>
      </text>
    </comment>
    <comment ref="N88" authorId="0" shapeId="0" xr:uid="{00000000-0006-0000-0100-000034000000}">
      <text>
        <r>
          <rPr>
            <sz val="8"/>
            <color indexed="81"/>
            <rFont val="Tahoma"/>
            <family val="2"/>
          </rPr>
          <t>Les objectifs ont été dépassés. L'apport de l'apprenant est supérieur au attentes exprimées.</t>
        </r>
      </text>
    </comment>
    <comment ref="C91" authorId="0" shapeId="0" xr:uid="{00000000-0006-0000-0100-000035000000}">
      <text>
        <r>
          <rPr>
            <sz val="8"/>
            <color indexed="81"/>
            <rFont val="Tahoma"/>
            <family val="2"/>
          </rPr>
          <t>Execute les consignes</t>
        </r>
      </text>
    </comment>
    <comment ref="D91" authorId="0" shapeId="0" xr:uid="{00000000-0006-0000-0100-000036000000}">
      <text>
        <r>
          <rPr>
            <sz val="8"/>
            <color indexed="81"/>
            <rFont val="Tahoma"/>
            <family val="2"/>
          </rPr>
          <t>Acteur intéressé</t>
        </r>
      </text>
    </comment>
    <comment ref="E91" authorId="0" shapeId="0" xr:uid="{00000000-0006-0000-0100-000037000000}">
      <text>
        <r>
          <rPr>
            <sz val="8"/>
            <color indexed="81"/>
            <rFont val="Tahoma"/>
            <family val="2"/>
          </rPr>
          <t>S'est approprié les tâches</t>
        </r>
      </text>
    </comment>
    <comment ref="F91" authorId="0" shapeId="0" xr:uid="{00000000-0006-0000-0100-000038000000}">
      <text>
        <r>
          <rPr>
            <sz val="8"/>
            <color indexed="81"/>
            <rFont val="Tahoma"/>
            <family val="2"/>
          </rPr>
          <t>Leader/Pilote</t>
        </r>
      </text>
    </comment>
    <comment ref="G91" authorId="0" shapeId="0" xr:uid="{00000000-0006-0000-0100-000039000000}">
      <text>
        <r>
          <rPr>
            <sz val="8"/>
            <color indexed="81"/>
            <rFont val="Tahoma"/>
            <family val="2"/>
          </rPr>
          <t>A proposé et conduit</t>
        </r>
      </text>
    </comment>
    <comment ref="B102" authorId="0" shapeId="0" xr:uid="{00000000-0006-0000-0100-00003A000000}">
      <text>
        <r>
          <rPr>
            <sz val="8"/>
            <color indexed="81"/>
            <rFont val="Tahoma"/>
            <family val="2"/>
          </rPr>
          <t>Indiquer avec un "X" la combinaison adéquate</t>
        </r>
        <r>
          <rPr>
            <sz val="9"/>
            <color indexed="81"/>
            <rFont val="Tahoma"/>
            <family val="2"/>
          </rPr>
          <t xml:space="preserve">
</t>
        </r>
      </text>
    </comment>
    <comment ref="I102" authorId="0" shapeId="0" xr:uid="{00000000-0006-0000-0100-00003B000000}">
      <text>
        <r>
          <rPr>
            <sz val="8"/>
            <color indexed="81"/>
            <rFont val="Tahoma"/>
            <family val="2"/>
          </rPr>
          <t>Utiliser la barre de défilement ci-dessous pour modifier la valeur associée au degré de satisfaction.</t>
        </r>
      </text>
    </comment>
    <comment ref="I103" authorId="0" shapeId="0" xr:uid="{00000000-0006-0000-0100-00003C000000}">
      <text>
        <r>
          <rPr>
            <sz val="8"/>
            <color indexed="81"/>
            <rFont val="Tahoma"/>
            <family val="2"/>
          </rPr>
          <t>Les objectifs n'ont pas été atteints. L'apprenant n'a pas répondu aux attentes.</t>
        </r>
        <r>
          <rPr>
            <sz val="9"/>
            <color indexed="81"/>
            <rFont val="Tahoma"/>
            <family val="2"/>
          </rPr>
          <t xml:space="preserve">
</t>
        </r>
      </text>
    </comment>
    <comment ref="J103" authorId="0" shapeId="0" xr:uid="{00000000-0006-0000-0100-00003D000000}">
      <text>
        <r>
          <rPr>
            <sz val="8"/>
            <color indexed="81"/>
            <rFont val="Tahoma"/>
            <family val="2"/>
          </rPr>
          <t>Les objectifs ont été partiellement atteints. Le bilan et les réponses aux attentes sont à minima et ne permettre pas de capitaliser les apports de l'apprenant sur la mission</t>
        </r>
      </text>
    </comment>
    <comment ref="K103" authorId="0" shapeId="0" xr:uid="{00000000-0006-0000-0100-00003E000000}">
      <text>
        <r>
          <rPr>
            <sz val="8"/>
            <color indexed="81"/>
            <rFont val="Tahoma"/>
            <family val="2"/>
          </rPr>
          <t xml:space="preserve">Les objectifs ont tous été atteints à minima. L'apport de l'apprenant est visible à la marge et ne contribue que faiblement à la réussite du projet </t>
        </r>
      </text>
    </comment>
    <comment ref="L103" authorId="0" shapeId="0" xr:uid="{00000000-0006-0000-0100-00003F000000}">
      <text>
        <r>
          <rPr>
            <sz val="8"/>
            <color indexed="81"/>
            <rFont val="Tahoma"/>
            <family val="2"/>
          </rPr>
          <t>Les objectifs ont tous été atteints à un niveau acceptable. L'apport de l'apprenant est important et contribue à la réussite du projet</t>
        </r>
      </text>
    </comment>
    <comment ref="M103" authorId="0" shapeId="0" xr:uid="{00000000-0006-0000-0100-000040000000}">
      <text>
        <r>
          <rPr>
            <sz val="8"/>
            <color indexed="81"/>
            <rFont val="Tahoma"/>
            <family val="2"/>
          </rPr>
          <t>Les objectifs ont tous été atteints de manière optimale. L'apport de l'apprenant contribue majoritairement à la réussite du projet</t>
        </r>
      </text>
    </comment>
    <comment ref="N103" authorId="0" shapeId="0" xr:uid="{00000000-0006-0000-0100-000041000000}">
      <text>
        <r>
          <rPr>
            <sz val="8"/>
            <color indexed="81"/>
            <rFont val="Tahoma"/>
            <family val="2"/>
          </rPr>
          <t>Les objectifs ont été dépassés. L'apport de l'apprenant est supérieur au attentes exprimées.</t>
        </r>
      </text>
    </comment>
    <comment ref="C106" authorId="0" shapeId="0" xr:uid="{00000000-0006-0000-0100-000042000000}">
      <text>
        <r>
          <rPr>
            <sz val="8"/>
            <color indexed="81"/>
            <rFont val="Tahoma"/>
            <family val="2"/>
          </rPr>
          <t>Execute les consignes</t>
        </r>
      </text>
    </comment>
    <comment ref="D106" authorId="0" shapeId="0" xr:uid="{00000000-0006-0000-0100-000043000000}">
      <text>
        <r>
          <rPr>
            <sz val="8"/>
            <color indexed="81"/>
            <rFont val="Tahoma"/>
            <family val="2"/>
          </rPr>
          <t>Acteur intéressé</t>
        </r>
      </text>
    </comment>
    <comment ref="E106" authorId="0" shapeId="0" xr:uid="{00000000-0006-0000-0100-000044000000}">
      <text>
        <r>
          <rPr>
            <sz val="8"/>
            <color indexed="81"/>
            <rFont val="Tahoma"/>
            <family val="2"/>
          </rPr>
          <t>S'est approprié les tâches</t>
        </r>
      </text>
    </comment>
    <comment ref="F106" authorId="0" shapeId="0" xr:uid="{00000000-0006-0000-0100-000045000000}">
      <text>
        <r>
          <rPr>
            <sz val="8"/>
            <color indexed="81"/>
            <rFont val="Tahoma"/>
            <family val="2"/>
          </rPr>
          <t>Leader/Pilote</t>
        </r>
      </text>
    </comment>
    <comment ref="G106" authorId="0" shapeId="0" xr:uid="{00000000-0006-0000-0100-000046000000}">
      <text>
        <r>
          <rPr>
            <sz val="8"/>
            <color indexed="81"/>
            <rFont val="Tahoma"/>
            <family val="2"/>
          </rPr>
          <t>A proposé et conduit</t>
        </r>
      </text>
    </comment>
    <comment ref="B118" authorId="0" shapeId="0" xr:uid="{00000000-0006-0000-0100-000047000000}">
      <text>
        <r>
          <rPr>
            <sz val="8"/>
            <color indexed="81"/>
            <rFont val="Tahoma"/>
            <family val="2"/>
          </rPr>
          <t>Indiquer avec un "X" la combinaison adéquate</t>
        </r>
        <r>
          <rPr>
            <sz val="9"/>
            <color indexed="81"/>
            <rFont val="Tahoma"/>
            <family val="2"/>
          </rPr>
          <t xml:space="preserve">
</t>
        </r>
      </text>
    </comment>
    <comment ref="I118" authorId="0" shapeId="0" xr:uid="{00000000-0006-0000-0100-000048000000}">
      <text>
        <r>
          <rPr>
            <sz val="8"/>
            <color indexed="81"/>
            <rFont val="Tahoma"/>
            <family val="2"/>
          </rPr>
          <t>Utiliser la barre de défilement ci-dessous pour modifier la valeur associée au degré de satisfaction.</t>
        </r>
      </text>
    </comment>
    <comment ref="I119" authorId="0" shapeId="0" xr:uid="{00000000-0006-0000-0100-000049000000}">
      <text>
        <r>
          <rPr>
            <sz val="8"/>
            <color indexed="81"/>
            <rFont val="Tahoma"/>
            <family val="2"/>
          </rPr>
          <t>Les objectifs n'ont pas été atteints. L'apprenant n'a pas répondu aux attentes.</t>
        </r>
        <r>
          <rPr>
            <sz val="9"/>
            <color indexed="81"/>
            <rFont val="Tahoma"/>
            <family val="2"/>
          </rPr>
          <t xml:space="preserve">
</t>
        </r>
      </text>
    </comment>
    <comment ref="J119" authorId="0" shapeId="0" xr:uid="{00000000-0006-0000-0100-00004A000000}">
      <text>
        <r>
          <rPr>
            <sz val="8"/>
            <color indexed="81"/>
            <rFont val="Tahoma"/>
            <family val="2"/>
          </rPr>
          <t>Les objectifs ont été partiellement atteints. Le bilan et les réponses aux attentes sont à minima et ne permettre pas de capitaliser les apports de l'apprenant sur la mission</t>
        </r>
      </text>
    </comment>
    <comment ref="K119" authorId="0" shapeId="0" xr:uid="{00000000-0006-0000-0100-00004B000000}">
      <text>
        <r>
          <rPr>
            <sz val="8"/>
            <color indexed="81"/>
            <rFont val="Tahoma"/>
            <family val="2"/>
          </rPr>
          <t xml:space="preserve">Les objectifs ont tous été atteints à minima. L'apport de l'apprenant est visible à la marge et ne contribue que faiblement à la réussite du projet </t>
        </r>
      </text>
    </comment>
    <comment ref="L119" authorId="0" shapeId="0" xr:uid="{00000000-0006-0000-0100-00004C000000}">
      <text>
        <r>
          <rPr>
            <sz val="8"/>
            <color indexed="81"/>
            <rFont val="Tahoma"/>
            <family val="2"/>
          </rPr>
          <t>Les objectifs ont tous été atteints à un niveau acceptable. L'apport de l'apprenant est important et contribue à la réussite du projet</t>
        </r>
      </text>
    </comment>
    <comment ref="M119" authorId="0" shapeId="0" xr:uid="{00000000-0006-0000-0100-00004D000000}">
      <text>
        <r>
          <rPr>
            <sz val="8"/>
            <color indexed="81"/>
            <rFont val="Tahoma"/>
            <family val="2"/>
          </rPr>
          <t>Les objectifs ont tous été atteints de manière optimale. L'apport de l'apprenant contribue majoritairement à la réussite du projet</t>
        </r>
      </text>
    </comment>
    <comment ref="N119" authorId="0" shapeId="0" xr:uid="{00000000-0006-0000-0100-00004E000000}">
      <text>
        <r>
          <rPr>
            <sz val="8"/>
            <color indexed="81"/>
            <rFont val="Tahoma"/>
            <family val="2"/>
          </rPr>
          <t>Les objectifs ont été dépassés. L'apport de l'apprenant est supérieur au attentes exprimées.</t>
        </r>
      </text>
    </comment>
    <comment ref="C122" authorId="0" shapeId="0" xr:uid="{00000000-0006-0000-0100-00004F000000}">
      <text>
        <r>
          <rPr>
            <sz val="8"/>
            <color indexed="81"/>
            <rFont val="Tahoma"/>
            <family val="2"/>
          </rPr>
          <t>Execute les consignes</t>
        </r>
      </text>
    </comment>
    <comment ref="D122" authorId="0" shapeId="0" xr:uid="{00000000-0006-0000-0100-000050000000}">
      <text>
        <r>
          <rPr>
            <sz val="8"/>
            <color indexed="81"/>
            <rFont val="Tahoma"/>
            <family val="2"/>
          </rPr>
          <t>Acteur intéressé</t>
        </r>
      </text>
    </comment>
    <comment ref="E122" authorId="0" shapeId="0" xr:uid="{00000000-0006-0000-0100-000051000000}">
      <text>
        <r>
          <rPr>
            <sz val="8"/>
            <color indexed="81"/>
            <rFont val="Tahoma"/>
            <family val="2"/>
          </rPr>
          <t>S'est approprié les tâches</t>
        </r>
      </text>
    </comment>
    <comment ref="F122" authorId="0" shapeId="0" xr:uid="{00000000-0006-0000-0100-000052000000}">
      <text>
        <r>
          <rPr>
            <sz val="8"/>
            <color indexed="81"/>
            <rFont val="Tahoma"/>
            <family val="2"/>
          </rPr>
          <t>Leader/Pilote</t>
        </r>
      </text>
    </comment>
    <comment ref="G122" authorId="0" shapeId="0" xr:uid="{00000000-0006-0000-0100-000053000000}">
      <text>
        <r>
          <rPr>
            <sz val="8"/>
            <color indexed="81"/>
            <rFont val="Tahoma"/>
            <family val="2"/>
          </rPr>
          <t>A proposé et conduit</t>
        </r>
      </text>
    </comment>
    <comment ref="O143" authorId="1" shapeId="0" xr:uid="{00000000-0006-0000-0100-000054000000}">
      <text>
        <r>
          <rPr>
            <b/>
            <sz val="9"/>
            <color rgb="FF000000"/>
            <rFont val="Tahoma"/>
            <family val="2"/>
          </rPr>
          <t>VJ:</t>
        </r>
        <r>
          <rPr>
            <sz val="9"/>
            <color rgb="FF000000"/>
            <rFont val="Tahoma"/>
            <family val="2"/>
          </rPr>
          <t xml:space="preserve">
</t>
        </r>
        <r>
          <rPr>
            <sz val="9"/>
            <color rgb="FF000000"/>
            <rFont val="Tahoma"/>
            <family val="2"/>
          </rPr>
          <t xml:space="preserve">Définir ici la note finale </t>
        </r>
      </text>
    </comment>
  </commentList>
</comments>
</file>

<file path=xl/sharedStrings.xml><?xml version="1.0" encoding="utf-8"?>
<sst xmlns="http://schemas.openxmlformats.org/spreadsheetml/2006/main" count="137" uniqueCount="73">
  <si>
    <t>Savoir d'adapter à tout type de situations, anticiper et maîtriser l'imprévu</t>
  </si>
  <si>
    <t>Agir en leader éclairé et éclairant</t>
  </si>
  <si>
    <t>Savoir écouter, comprendre et interagir avec son environnement</t>
  </si>
  <si>
    <t>Appuyer son jugement sur une analyse pertinente et efficace</t>
  </si>
  <si>
    <t>Piloter des projets transverses et interdiciplinaires en mettant en avant son expertise</t>
  </si>
  <si>
    <t xml:space="preserve">→ Connaissance de soi, aptitude à progresser à partir des expériences passées
→ Capacité à apprendre vite et bien
→ Capacité d'intégration et d'adaptation
</t>
  </si>
  <si>
    <t xml:space="preserve">→ Passion et dynamisme en conciliant don de soi et respect des autres
→ Cultures des objectifs, de l'action et des résultats
→ Courage, persévérance, capacité à aller au bout de soi-même
</t>
  </si>
  <si>
    <t>→ Conscience de l'impact de ses décisions et de ses actions sur tous les plans
→ Respect des valeurs humanistes et ethiques
→ Capacité à assumer ses responsabilités, à rendre compte, à reconnaitre les contributions des autres
→ Exemplarité de son comportement</t>
  </si>
  <si>
    <t>→ Curiosité, ouverture d'esprit, capacité d'observation et de veille
→ Ecoute, aptitudes relationnelles, travail en équipe
→ Comprésention de son environnement (entreprise, société, monde), aisance avec l'interculturel (international, mixité sociale)</t>
  </si>
  <si>
    <t>→ Finesse d'analyse et de synthèse, intelligence des situations
→ Esprit critique/prise de recul/autonomie et pertinence du jugement
→ Capacité de décision argumentée</t>
  </si>
  <si>
    <t>Emporter l'adhésion et forcer le succès par son comportement</t>
  </si>
  <si>
    <t xml:space="preserve">→ Niveau des compétences et connaissance scientifiques
→ Atteinte d'un niveau recherche/expert sur un champ ciblé
→ Capacité de dialogue avec des spécialistes de champs différents et avec des non experts
→ Capacité à appréhender et poser un problème complexe
→ Capacité à manager un projet complexe
</t>
  </si>
  <si>
    <t>Commentaires généraux</t>
  </si>
  <si>
    <t>Score global</t>
  </si>
  <si>
    <t>N°</t>
  </si>
  <si>
    <t>Intitulé</t>
  </si>
  <si>
    <t>Missions
principales</t>
  </si>
  <si>
    <t>Complexe</t>
  </si>
  <si>
    <t>Pilote</t>
  </si>
  <si>
    <t>Initiateur</t>
  </si>
  <si>
    <t>Complexe et stratégique</t>
  </si>
  <si>
    <t>Exécutant</t>
  </si>
  <si>
    <t>Participant</t>
  </si>
  <si>
    <t>Moteur</t>
  </si>
  <si>
    <t>Courante</t>
  </si>
  <si>
    <t xml:space="preserve">Envergure </t>
  </si>
  <si>
    <t>Implication</t>
  </si>
  <si>
    <t>/</t>
  </si>
  <si>
    <t>&lt;=20%</t>
  </si>
  <si>
    <t>Commentaires et axes de progrès (Mission 4)</t>
  </si>
  <si>
    <t>Commentaires et axes de progrès (Mission 3)</t>
  </si>
  <si>
    <t>Commentaires et axes de progrès (Mission 2)</t>
  </si>
  <si>
    <t>Commentaires et axes de progrès (Mission 1)</t>
  </si>
  <si>
    <t>Commentaires et axes de progrès (Mission 5)</t>
  </si>
  <si>
    <t>Evaluation entreprise - Qualité et aptitudes du candidat (1/2)</t>
  </si>
  <si>
    <t>Evaluation entreprise - Missions (2/2)</t>
  </si>
  <si>
    <t>Mission n°1</t>
  </si>
  <si>
    <t>Mission n°2</t>
  </si>
  <si>
    <t>Mission n°3</t>
  </si>
  <si>
    <t>Mission n°4</t>
  </si>
  <si>
    <t>Mission n°5</t>
  </si>
  <si>
    <t>Note équivalente sur 20</t>
  </si>
  <si>
    <t>Pour chacune des 6 qualités et aptitudes suivantes, proposer une évaluation de l'apprenant comprise entre 0 et 100% à l'aide des barres de défilement</t>
  </si>
  <si>
    <r>
      <rPr>
        <b/>
        <sz val="11"/>
        <color theme="1"/>
        <rFont val="Calibri"/>
        <family val="2"/>
        <scheme val="minor"/>
      </rPr>
      <t>Qualité 1 :</t>
    </r>
    <r>
      <rPr>
        <b/>
        <sz val="11"/>
        <color rgb="FFC00000"/>
        <rFont val="Calibri"/>
        <family val="2"/>
        <scheme val="minor"/>
      </rPr>
      <t xml:space="preserve"> Agilité</t>
    </r>
  </si>
  <si>
    <r>
      <rPr>
        <b/>
        <sz val="11"/>
        <color theme="1"/>
        <rFont val="Calibri"/>
        <family val="2"/>
        <scheme val="minor"/>
      </rPr>
      <t>Qualité 2 :</t>
    </r>
    <r>
      <rPr>
        <b/>
        <sz val="11"/>
        <color rgb="FFC00000"/>
        <rFont val="Calibri"/>
        <family val="2"/>
        <scheme val="minor"/>
      </rPr>
      <t xml:space="preserve"> Engagement</t>
    </r>
  </si>
  <si>
    <r>
      <rPr>
        <b/>
        <sz val="11"/>
        <color theme="1"/>
        <rFont val="Calibri"/>
        <family val="2"/>
        <scheme val="minor"/>
      </rPr>
      <t xml:space="preserve">Qualité 3 : </t>
    </r>
    <r>
      <rPr>
        <b/>
        <sz val="11"/>
        <color rgb="FFC00000"/>
        <rFont val="Calibri"/>
        <family val="2"/>
        <scheme val="minor"/>
      </rPr>
      <t>Responsabilité</t>
    </r>
  </si>
  <si>
    <r>
      <rPr>
        <b/>
        <sz val="11"/>
        <color theme="1"/>
        <rFont val="Calibri"/>
        <family val="2"/>
        <scheme val="minor"/>
      </rPr>
      <t xml:space="preserve">Qualité 4 : </t>
    </r>
    <r>
      <rPr>
        <b/>
        <sz val="11"/>
        <color rgb="FFC00000"/>
        <rFont val="Calibri"/>
        <family val="2"/>
        <scheme val="minor"/>
      </rPr>
      <t>Ouverture</t>
    </r>
  </si>
  <si>
    <r>
      <rPr>
        <b/>
        <sz val="11"/>
        <color theme="1"/>
        <rFont val="Calibri"/>
        <family val="2"/>
        <scheme val="minor"/>
      </rPr>
      <t xml:space="preserve">Qualité 5 : </t>
    </r>
    <r>
      <rPr>
        <b/>
        <sz val="11"/>
        <color rgb="FFC00000"/>
        <rFont val="Calibri"/>
        <family val="2"/>
        <scheme val="minor"/>
      </rPr>
      <t xml:space="preserve">Discernement </t>
    </r>
  </si>
  <si>
    <r>
      <rPr>
        <b/>
        <sz val="11"/>
        <color theme="1"/>
        <rFont val="Calibri"/>
        <family val="2"/>
        <scheme val="minor"/>
      </rPr>
      <t xml:space="preserve">Qualité 6 : </t>
    </r>
    <r>
      <rPr>
        <b/>
        <sz val="11"/>
        <color rgb="FFC00000"/>
        <rFont val="Calibri"/>
        <family val="2"/>
        <scheme val="minor"/>
      </rPr>
      <t>Expertise</t>
    </r>
  </si>
  <si>
    <t>Explications pour l'évaluation du candidat en entreprise</t>
  </si>
  <si>
    <t>Des commentaires apportant une aide permettant de compléter le document sont disponibles (en passant le pointeur sur les cases ciblées)</t>
  </si>
  <si>
    <r>
      <rPr>
        <b/>
        <u/>
        <sz val="11"/>
        <color theme="1"/>
        <rFont val="Calibri"/>
        <family val="2"/>
        <scheme val="minor"/>
      </rPr>
      <t>Evaluation entreprise - Qualité et aptitudes du candidat (1/2)</t>
    </r>
    <r>
      <rPr>
        <sz val="11"/>
        <color theme="1"/>
        <rFont val="Calibri"/>
        <family val="2"/>
        <scheme val="minor"/>
      </rPr>
      <t xml:space="preserve">
La premier ensemble dénommé : "Evaluation entreprise - Qualité et aptitudes du candidat (1/2)" évalue les 6 qualités intrinsèques du candidat : Agilité, Engagement, Responsabilité, Ouverture, Discernement, Expertise
Chacune de ces 6 qualités est évaluée selon une échelle de 0 à 100% (à l'aide des barres de défilement) puis un score global (moyenne des scores des 6 qualités) est estimé automatiquement (Valeur comprise entre 0 et 100%).
Le réapitulatif des résultats obtenus pour chacune des qualités est présenté de manière graphique par un diagramme en radar</t>
    </r>
  </si>
  <si>
    <t>Pour chacune des missions principales (maximum 5, dont la thèse professionnelle), indiquer, l'intitulé, l'envergure, l'implication ainsi que le degré de réussite de la mission (via les barres de défilement)</t>
  </si>
  <si>
    <r>
      <rPr>
        <b/>
        <u/>
        <sz val="11"/>
        <color theme="1"/>
        <rFont val="Calibri"/>
        <family val="2"/>
        <scheme val="minor"/>
      </rPr>
      <t xml:space="preserve">Evaluation entreprise - Missions (2/2) </t>
    </r>
    <r>
      <rPr>
        <b/>
        <sz val="11"/>
        <color theme="1"/>
        <rFont val="Calibri"/>
        <family val="2"/>
        <scheme val="minor"/>
      </rPr>
      <t xml:space="preserve">
</t>
    </r>
    <r>
      <rPr>
        <sz val="11"/>
        <color theme="1"/>
        <rFont val="Calibri"/>
        <family val="2"/>
        <scheme val="minor"/>
      </rPr>
      <t xml:space="preserve">
Le second ensemble dénommé : "Evaluation entreprise - Missions (2/2)" a pour objectif d'évaluer les principales missions en entreprise (maximum 5 missions dont </t>
    </r>
    <r>
      <rPr>
        <b/>
        <sz val="12"/>
        <color rgb="FFFF0000"/>
        <rFont val="Calibri"/>
        <family val="2"/>
        <scheme val="minor"/>
      </rPr>
      <t>la thèse professionnelle</t>
    </r>
    <r>
      <rPr>
        <sz val="11"/>
        <color theme="1"/>
        <rFont val="Calibri"/>
        <family val="2"/>
        <scheme val="minor"/>
      </rPr>
      <t>). 
Après avoir renseigné les intitulés des missions principales effectuées, une évaluation individuelle de ces dernières est effectuée.
Dans un premier temps, chacune des missions est caractérisée selon son envergure et le niveau d'implication de l'élève (une seule croix par tableau). Dans un second temps, le niveau de réussite de la mission est évaluée sur une échelle exprimée en pourcentage à l'aide des barres de défilement associées. 
Enfin, chacune des missions peut-être commentée individuellement et un emplacement réservé aux commentaires généraux est disponible en bas de page.
Sur la base des missions évaluées, un score global est estimé.</t>
    </r>
  </si>
  <si>
    <t>Note finale de l'entreprise sur 20</t>
  </si>
  <si>
    <r>
      <t xml:space="preserve">Indiquer avec un "X" la combinaison adéquate </t>
    </r>
    <r>
      <rPr>
        <b/>
        <sz val="8"/>
        <color rgb="FFFF0000"/>
        <rFont val="Calibri"/>
        <family val="2"/>
        <scheme val="minor"/>
      </rPr>
      <t>(une seule case à cocher)</t>
    </r>
  </si>
  <si>
    <r>
      <t xml:space="preserve">Indiquer avec un "X" la combinaison adéquate </t>
    </r>
    <r>
      <rPr>
        <b/>
        <sz val="8"/>
        <color rgb="FFFF0000"/>
        <rFont val="Calibri"/>
        <family val="2"/>
        <scheme val="minor"/>
      </rPr>
      <t>(une seule caseà cocher)</t>
    </r>
  </si>
  <si>
    <r>
      <t>Indiquer avec un "X" la combinaison adéquate</t>
    </r>
    <r>
      <rPr>
        <b/>
        <sz val="8"/>
        <color rgb="FFFF0000"/>
        <rFont val="Calibri"/>
        <family val="2"/>
        <scheme val="minor"/>
      </rPr>
      <t xml:space="preserve"> (une seule case à cocher)</t>
    </r>
  </si>
  <si>
    <r>
      <t xml:space="preserve">Indiquer avec un "X" la combinaison adéquate </t>
    </r>
    <r>
      <rPr>
        <b/>
        <sz val="8"/>
        <color rgb="FFFF0000"/>
        <rFont val="Calibri"/>
        <family val="2"/>
        <scheme val="minor"/>
      </rPr>
      <t xml:space="preserve"> (une seule case à cocher)</t>
    </r>
  </si>
  <si>
    <t>Pour chacune des deux evaluations, l'entreprise doit définir la note quelle souhaite attribuer de manière définitive.</t>
  </si>
  <si>
    <t>Degré de satisfaction envers l'apprenant sur la mission</t>
  </si>
  <si>
    <t>Ce document constitue la grille d'évaluation des missions réalisées dans le cadre de la période en entreprise de l'élève en MS DSD IoT
La grille d'évaluation (voir feuille 'Grille d'évaluation') est composée de deux sous ensembles :</t>
  </si>
  <si>
    <t xml:space="preserve">A l'écoute, capacité d'adaptation, compréhension rapide et travail de qualité. </t>
  </si>
  <si>
    <t>Gestion de projet de déploiement de capteurs (définir le besoin en objectifs, réunion de lancement et cadrage de la mission, réalisation, contrôle qualité et livraison)</t>
  </si>
  <si>
    <t xml:space="preserve">Monitorer le parc de capteur et piloter la maintenance auprès des clients et partenaires </t>
  </si>
  <si>
    <t>x</t>
  </si>
  <si>
    <t>Compréhension rapide des enjeux liés au monitoring. 
Présentation de différents scénarios de plan d'actions aux équipes internes, clients et partenaires
Œil critique sur les limites des outils interne et force de propositions pour les améliorer (Power BI)</t>
  </si>
  <si>
    <t>Développement d'outils internes pour l'équipe Opérations : Craftee</t>
  </si>
  <si>
    <t>Compréhension rapide de la chaîne de valeur. Mise en application rapide et efficace. 
Projets maitrisés de bout en bout et livrés dans les temps.</t>
  </si>
  <si>
    <t>Montée en compétence rapide sur un nouveau langage informatique.
Adaptation rapide aux équipes, à l'environnement technique. 
Méthode SCRUM totalement assimilée et réalisation efficace.</t>
  </si>
  <si>
    <t>Thèse professionnelle</t>
  </si>
  <si>
    <t xml:space="preserve">RAS, rédaction de qualité. </t>
  </si>
  <si>
    <t xml:space="preserve">Bon travail. Alternance très ambitieuse avec une double missions/compétences.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</si>
</sst>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1"/>
      <color theme="0"/>
      <name val="Calibri"/>
      <family val="2"/>
      <scheme val="minor"/>
    </font>
    <font>
      <sz val="8"/>
      <color theme="1"/>
      <name val="Calibri"/>
      <family val="2"/>
      <scheme val="minor"/>
    </font>
    <font>
      <b/>
      <sz val="14"/>
      <color theme="0"/>
      <name val="Calibri"/>
      <family val="2"/>
      <scheme val="minor"/>
    </font>
    <font>
      <b/>
      <sz val="11"/>
      <color theme="1"/>
      <name val="Calibri"/>
      <family val="2"/>
      <scheme val="minor"/>
    </font>
    <font>
      <sz val="11"/>
      <color theme="0"/>
      <name val="Calibri"/>
      <family val="2"/>
      <scheme val="minor"/>
    </font>
    <font>
      <b/>
      <sz val="11"/>
      <color rgb="FFC00000"/>
      <name val="Calibri"/>
      <family val="2"/>
      <scheme val="minor"/>
    </font>
    <font>
      <sz val="48"/>
      <name val="Calibri"/>
      <family val="2"/>
      <scheme val="minor"/>
    </font>
    <font>
      <sz val="48"/>
      <color theme="0"/>
      <name val="Calibri"/>
      <family val="2"/>
      <scheme val="minor"/>
    </font>
    <font>
      <b/>
      <sz val="22"/>
      <color theme="0"/>
      <name val="Calibri"/>
      <family val="2"/>
      <scheme val="minor"/>
    </font>
    <font>
      <sz val="9"/>
      <color indexed="81"/>
      <name val="Tahoma"/>
      <family val="2"/>
    </font>
    <font>
      <b/>
      <sz val="9"/>
      <color indexed="81"/>
      <name val="Tahoma"/>
      <family val="2"/>
    </font>
    <font>
      <b/>
      <sz val="11"/>
      <color rgb="FFFF0000"/>
      <name val="Calibri"/>
      <family val="2"/>
      <scheme val="minor"/>
    </font>
    <font>
      <b/>
      <sz val="12"/>
      <color rgb="FFFF0000"/>
      <name val="Calibri"/>
      <family val="2"/>
      <scheme val="minor"/>
    </font>
    <font>
      <sz val="8"/>
      <color indexed="81"/>
      <name val="Tahoma"/>
      <family val="2"/>
    </font>
    <font>
      <b/>
      <sz val="8"/>
      <color theme="1"/>
      <name val="Calibri"/>
      <family val="2"/>
      <scheme val="minor"/>
    </font>
    <font>
      <b/>
      <sz val="8"/>
      <color indexed="81"/>
      <name val="Tahoma"/>
      <family val="2"/>
    </font>
    <font>
      <b/>
      <sz val="16"/>
      <color theme="1"/>
      <name val="Calibri"/>
      <family val="2"/>
      <scheme val="minor"/>
    </font>
    <font>
      <b/>
      <u/>
      <sz val="11"/>
      <color theme="1"/>
      <name val="Calibri"/>
      <family val="2"/>
      <scheme val="minor"/>
    </font>
    <font>
      <b/>
      <sz val="8"/>
      <color rgb="FFFF0000"/>
      <name val="Calibri"/>
      <family val="2"/>
      <scheme val="minor"/>
    </font>
    <font>
      <sz val="11"/>
      <name val="Calibri"/>
      <family val="2"/>
      <scheme val="minor"/>
    </font>
    <font>
      <sz val="22"/>
      <color theme="1"/>
      <name val="Calibri"/>
      <family val="2"/>
      <scheme val="minor"/>
    </font>
    <font>
      <b/>
      <sz val="18"/>
      <color theme="1"/>
      <name val="Calibri"/>
      <family val="2"/>
      <scheme val="minor"/>
    </font>
    <font>
      <sz val="8"/>
      <color rgb="FF000000"/>
      <name val="Tahoma"/>
      <family val="2"/>
    </font>
    <font>
      <sz val="9"/>
      <color rgb="FF000000"/>
      <name val="Tahoma"/>
      <family val="2"/>
    </font>
    <font>
      <b/>
      <sz val="9"/>
      <color rgb="FF000000"/>
      <name val="Tahoma"/>
      <family val="2"/>
    </font>
  </fonts>
  <fills count="13">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8"/>
        <bgColor indexed="64"/>
      </patternFill>
    </fill>
    <fill>
      <patternFill patternType="solid">
        <fgColor theme="9"/>
        <bgColor indexed="64"/>
      </patternFill>
    </fill>
    <fill>
      <patternFill patternType="solid">
        <fgColor rgb="FFC00000"/>
        <bgColor indexed="64"/>
      </patternFill>
    </fill>
    <fill>
      <patternFill patternType="solid">
        <fgColor rgb="FFFFC00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7"/>
        <bgColor indexed="64"/>
      </patternFill>
    </fill>
    <fill>
      <patternFill patternType="solid">
        <fgColor theme="2"/>
        <bgColor indexed="64"/>
      </patternFill>
    </fill>
    <fill>
      <patternFill patternType="solid">
        <fgColor rgb="FFFF0000"/>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bottom/>
      <diagonal/>
    </border>
    <border>
      <left style="medium">
        <color indexed="64"/>
      </left>
      <right style="thin">
        <color indexed="64"/>
      </right>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auto="1"/>
      </top>
      <bottom style="medium">
        <color indexed="64"/>
      </bottom>
      <diagonal/>
    </border>
    <border>
      <left style="thin">
        <color rgb="FFFF0000"/>
      </left>
      <right/>
      <top/>
      <bottom/>
      <diagonal/>
    </border>
    <border>
      <left style="thin">
        <color rgb="FFFF0000"/>
      </left>
      <right/>
      <top/>
      <bottom style="medium">
        <color indexed="64"/>
      </bottom>
      <diagonal/>
    </border>
    <border>
      <left/>
      <right/>
      <top style="thin">
        <color rgb="FFFF0000"/>
      </top>
      <bottom style="medium">
        <color indexed="64"/>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thin">
        <color rgb="FFFF0000"/>
      </left>
      <right/>
      <top style="thin">
        <color rgb="FFFF0000"/>
      </top>
      <bottom/>
      <diagonal/>
    </border>
    <border>
      <left/>
      <right style="thin">
        <color rgb="FFFF0000"/>
      </right>
      <top style="thin">
        <color rgb="FFFF0000"/>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right style="thin">
        <color rgb="FFFF0000"/>
      </right>
      <top/>
      <bottom style="medium">
        <color indexed="64"/>
      </bottom>
      <diagonal/>
    </border>
  </borders>
  <cellStyleXfs count="1">
    <xf numFmtId="0" fontId="0" fillId="0" borderId="0"/>
  </cellStyleXfs>
  <cellXfs count="188">
    <xf numFmtId="0" fontId="0" fillId="0" borderId="0" xfId="0"/>
    <xf numFmtId="0" fontId="3" fillId="0" borderId="7" xfId="0" applyFont="1" applyBorder="1" applyAlignment="1">
      <alignment horizontal="center" vertical="center"/>
    </xf>
    <xf numFmtId="0" fontId="3" fillId="0" borderId="1" xfId="0" applyFont="1" applyBorder="1" applyAlignment="1">
      <alignment horizontal="center" vertical="center"/>
    </xf>
    <xf numFmtId="0" fontId="0" fillId="0" borderId="23" xfId="0" applyBorder="1" applyAlignment="1">
      <alignment horizontal="center"/>
    </xf>
    <xf numFmtId="0" fontId="0" fillId="0" borderId="2" xfId="0" applyBorder="1" applyAlignment="1">
      <alignment horizontal="center"/>
    </xf>
    <xf numFmtId="0" fontId="0" fillId="0" borderId="26" xfId="0" applyBorder="1" applyAlignment="1">
      <alignment horizontal="center"/>
    </xf>
    <xf numFmtId="9" fontId="5" fillId="6" borderId="27" xfId="0" applyNumberFormat="1" applyFont="1" applyFill="1" applyBorder="1" applyAlignment="1">
      <alignment horizontal="center" vertical="center"/>
    </xf>
    <xf numFmtId="9" fontId="5" fillId="5" borderId="28" xfId="0" applyNumberFormat="1" applyFont="1" applyFill="1" applyBorder="1" applyAlignment="1">
      <alignment horizontal="center" vertical="center"/>
    </xf>
    <xf numFmtId="9" fontId="5" fillId="7" borderId="28" xfId="0" applyNumberFormat="1" applyFont="1" applyFill="1" applyBorder="1" applyAlignment="1">
      <alignment horizontal="center" vertical="center"/>
    </xf>
    <xf numFmtId="9" fontId="5" fillId="3" borderId="28" xfId="0" applyNumberFormat="1" applyFont="1" applyFill="1" applyBorder="1" applyAlignment="1">
      <alignment horizontal="center" vertical="center"/>
    </xf>
    <xf numFmtId="9" fontId="5" fillId="2" borderId="28" xfId="0" applyNumberFormat="1" applyFont="1" applyFill="1" applyBorder="1" applyAlignment="1">
      <alignment horizontal="center" vertical="center"/>
    </xf>
    <xf numFmtId="9" fontId="5" fillId="4" borderId="29" xfId="0" applyNumberFormat="1" applyFont="1" applyFill="1" applyBorder="1" applyAlignment="1">
      <alignment horizontal="center" vertical="center"/>
    </xf>
    <xf numFmtId="0" fontId="4" fillId="0" borderId="1" xfId="0" applyFont="1" applyBorder="1" applyAlignment="1">
      <alignment horizontal="center"/>
    </xf>
    <xf numFmtId="0" fontId="4" fillId="0" borderId="8"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0" fillId="0" borderId="11" xfId="0" applyBorder="1"/>
    <xf numFmtId="0" fontId="0" fillId="0" borderId="12" xfId="0" applyBorder="1"/>
    <xf numFmtId="0" fontId="0" fillId="0" borderId="16" xfId="0" applyBorder="1"/>
    <xf numFmtId="0" fontId="0" fillId="0" borderId="14" xfId="0" applyBorder="1"/>
    <xf numFmtId="0" fontId="0" fillId="0" borderId="8"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0" xfId="0" applyBorder="1" applyAlignment="1">
      <alignment horizontal="center"/>
    </xf>
    <xf numFmtId="0" fontId="0" fillId="0" borderId="25" xfId="0" applyBorder="1" applyAlignment="1">
      <alignment horizontal="center"/>
    </xf>
    <xf numFmtId="0" fontId="0" fillId="0" borderId="31" xfId="0" applyBorder="1" applyAlignment="1">
      <alignment horizontal="center"/>
    </xf>
    <xf numFmtId="0" fontId="1" fillId="10" borderId="1" xfId="0" applyFont="1" applyFill="1" applyBorder="1"/>
    <xf numFmtId="0" fontId="0" fillId="0" borderId="9" xfId="0" applyBorder="1"/>
    <xf numFmtId="0" fontId="0" fillId="0" borderId="15" xfId="0" applyBorder="1"/>
    <xf numFmtId="0" fontId="0" fillId="0" borderId="10" xfId="0" applyBorder="1"/>
    <xf numFmtId="0" fontId="0" fillId="0" borderId="13" xfId="0" applyBorder="1"/>
    <xf numFmtId="11" fontId="0" fillId="0" borderId="0" xfId="0" applyNumberFormat="1"/>
    <xf numFmtId="0" fontId="4" fillId="0" borderId="12" xfId="0" applyFont="1" applyBorder="1"/>
    <xf numFmtId="0" fontId="4" fillId="0" borderId="0" xfId="0" applyFont="1" applyAlignment="1">
      <alignment vertical="top"/>
    </xf>
    <xf numFmtId="0" fontId="0" fillId="11" borderId="20" xfId="0" applyFill="1" applyBorder="1" applyAlignment="1" applyProtection="1">
      <alignment horizontal="center" vertical="center"/>
      <protection locked="0"/>
    </xf>
    <xf numFmtId="0" fontId="0" fillId="11" borderId="21" xfId="0" applyFill="1" applyBorder="1" applyAlignment="1" applyProtection="1">
      <alignment horizontal="center" vertical="center"/>
      <protection locked="0"/>
    </xf>
    <xf numFmtId="0" fontId="0" fillId="11" borderId="21" xfId="0" applyFill="1" applyBorder="1" applyAlignment="1" applyProtection="1">
      <alignment vertical="center"/>
      <protection locked="0"/>
    </xf>
    <xf numFmtId="0" fontId="0" fillId="11" borderId="22" xfId="0" applyFill="1" applyBorder="1" applyAlignment="1" applyProtection="1">
      <alignment vertical="center"/>
      <protection locked="0"/>
    </xf>
    <xf numFmtId="0" fontId="0" fillId="11" borderId="23" xfId="0" applyFill="1" applyBorder="1" applyAlignment="1" applyProtection="1">
      <alignment horizontal="center" vertical="center"/>
      <protection locked="0"/>
    </xf>
    <xf numFmtId="0" fontId="0" fillId="11" borderId="17" xfId="0" applyFill="1" applyBorder="1" applyAlignment="1" applyProtection="1">
      <alignment horizontal="center" vertical="center"/>
      <protection locked="0"/>
    </xf>
    <xf numFmtId="0" fontId="0" fillId="11" borderId="17" xfId="0" applyFill="1" applyBorder="1" applyAlignment="1" applyProtection="1">
      <alignment vertical="center"/>
      <protection locked="0"/>
    </xf>
    <xf numFmtId="0" fontId="0" fillId="11" borderId="24" xfId="0" applyFill="1" applyBorder="1" applyAlignment="1" applyProtection="1">
      <alignment vertical="center"/>
      <protection locked="0"/>
    </xf>
    <xf numFmtId="0" fontId="0" fillId="11" borderId="2" xfId="0" applyFill="1" applyBorder="1" applyAlignment="1" applyProtection="1">
      <alignment horizontal="center" vertical="center"/>
      <protection locked="0"/>
    </xf>
    <xf numFmtId="0" fontId="0" fillId="11" borderId="3" xfId="0" applyFill="1" applyBorder="1" applyAlignment="1" applyProtection="1">
      <alignment horizontal="center" vertical="center"/>
      <protection locked="0"/>
    </xf>
    <xf numFmtId="0" fontId="0" fillId="11" borderId="3" xfId="0" applyFill="1" applyBorder="1" applyAlignment="1" applyProtection="1">
      <alignment vertical="center"/>
      <protection locked="0"/>
    </xf>
    <xf numFmtId="0" fontId="0" fillId="11" borderId="4" xfId="0" applyFill="1" applyBorder="1" applyAlignment="1" applyProtection="1">
      <alignment vertical="center"/>
      <protection locked="0"/>
    </xf>
    <xf numFmtId="0" fontId="5" fillId="0" borderId="0" xfId="0" applyFont="1"/>
    <xf numFmtId="0" fontId="15" fillId="0" borderId="2" xfId="0" applyFont="1" applyBorder="1" applyAlignment="1">
      <alignment horizontal="center" vertical="center" wrapText="1"/>
    </xf>
    <xf numFmtId="0" fontId="0" fillId="0" borderId="0" xfId="0" applyAlignment="1">
      <alignment vertical="top"/>
    </xf>
    <xf numFmtId="0" fontId="0" fillId="0" borderId="11" xfId="0" applyBorder="1" applyAlignment="1">
      <alignment horizontal="center" vertical="center"/>
    </xf>
    <xf numFmtId="0" fontId="5" fillId="0" borderId="0" xfId="0" applyFont="1" applyProtection="1">
      <protection locked="0"/>
    </xf>
    <xf numFmtId="0" fontId="5" fillId="0" borderId="0" xfId="0" applyFont="1" applyAlignment="1">
      <alignment vertical="center"/>
    </xf>
    <xf numFmtId="0" fontId="20" fillId="0" borderId="0" xfId="0" applyFont="1"/>
    <xf numFmtId="0" fontId="0" fillId="0" borderId="36" xfId="0" applyBorder="1"/>
    <xf numFmtId="0" fontId="5" fillId="0" borderId="0" xfId="0" applyFont="1" applyAlignment="1">
      <alignment horizontal="center"/>
    </xf>
    <xf numFmtId="0" fontId="12" fillId="0" borderId="9" xfId="0" applyFont="1" applyBorder="1" applyAlignment="1">
      <alignment horizontal="center" vertical="center"/>
    </xf>
    <xf numFmtId="0" fontId="12" fillId="0" borderId="15" xfId="0" applyFont="1" applyBorder="1" applyAlignment="1">
      <alignment horizontal="center" vertical="center"/>
    </xf>
    <xf numFmtId="0" fontId="12" fillId="0" borderId="10" xfId="0" applyFont="1" applyBorder="1" applyAlignment="1">
      <alignment horizontal="center" vertical="center"/>
    </xf>
    <xf numFmtId="0" fontId="12" fillId="0" borderId="13" xfId="0" applyFont="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7" fillId="0" borderId="9" xfId="0" applyFont="1" applyBorder="1" applyAlignment="1">
      <alignment horizontal="center" vertical="center"/>
    </xf>
    <xf numFmtId="0" fontId="17" fillId="0" borderId="15" xfId="0" applyFont="1" applyBorder="1" applyAlignment="1">
      <alignment horizontal="center" vertical="center"/>
    </xf>
    <xf numFmtId="0" fontId="17" fillId="0" borderId="10" xfId="0" applyFont="1" applyBorder="1" applyAlignment="1">
      <alignment horizontal="center" vertical="center"/>
    </xf>
    <xf numFmtId="0" fontId="17" fillId="0" borderId="13" xfId="0" applyFont="1" applyBorder="1" applyAlignment="1">
      <alignment horizontal="center" vertical="center"/>
    </xf>
    <xf numFmtId="0" fontId="17" fillId="0" borderId="16" xfId="0" applyFont="1" applyBorder="1" applyAlignment="1">
      <alignment horizontal="center" vertical="center"/>
    </xf>
    <xf numFmtId="0" fontId="17" fillId="0" borderId="14" xfId="0" applyFont="1" applyBorder="1" applyAlignment="1">
      <alignment horizontal="center" vertical="center"/>
    </xf>
    <xf numFmtId="0" fontId="0" fillId="0" borderId="9" xfId="0" applyBorder="1" applyAlignment="1">
      <alignment horizontal="center" vertical="center" wrapText="1"/>
    </xf>
    <xf numFmtId="0" fontId="0" fillId="0" borderId="15"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0" fillId="0" borderId="9" xfId="0" applyBorder="1" applyAlignment="1">
      <alignment horizontal="center" vertical="top" wrapText="1"/>
    </xf>
    <xf numFmtId="0" fontId="0" fillId="0" borderId="15"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6" xfId="0" applyBorder="1" applyAlignment="1">
      <alignment horizontal="center" vertical="top" wrapText="1"/>
    </xf>
    <xf numFmtId="0" fontId="0" fillId="0" borderId="14" xfId="0" applyBorder="1" applyAlignment="1">
      <alignment horizontal="center" vertical="top" wrapText="1"/>
    </xf>
    <xf numFmtId="0" fontId="1" fillId="12" borderId="0" xfId="0" applyFont="1" applyFill="1" applyAlignment="1">
      <alignment horizontal="center" vertical="top" wrapText="1"/>
    </xf>
    <xf numFmtId="0" fontId="6" fillId="9" borderId="8" xfId="0" applyFont="1" applyFill="1" applyBorder="1" applyAlignment="1">
      <alignment horizontal="center" vertical="center"/>
    </xf>
    <xf numFmtId="0" fontId="6" fillId="9" borderId="5" xfId="0" applyFont="1" applyFill="1" applyBorder="1" applyAlignment="1">
      <alignment horizontal="center" vertical="center"/>
    </xf>
    <xf numFmtId="0" fontId="6" fillId="9" borderId="6" xfId="0" applyFont="1" applyFill="1" applyBorder="1" applyAlignment="1">
      <alignment horizontal="center" vertical="center"/>
    </xf>
    <xf numFmtId="0" fontId="2" fillId="0" borderId="3"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11" fontId="2" fillId="0" borderId="3" xfId="0" applyNumberFormat="1" applyFont="1" applyBorder="1" applyAlignment="1">
      <alignment horizontal="center" vertical="top" wrapText="1"/>
    </xf>
    <xf numFmtId="11" fontId="2" fillId="0" borderId="4" xfId="0" applyNumberFormat="1" applyFont="1" applyBorder="1" applyAlignment="1">
      <alignment horizontal="center" vertical="top" wrapText="1"/>
    </xf>
    <xf numFmtId="0" fontId="2" fillId="0" borderId="4" xfId="0" applyFont="1" applyBorder="1" applyAlignment="1">
      <alignment horizontal="left" vertical="top" wrapText="1"/>
    </xf>
    <xf numFmtId="0" fontId="1" fillId="9" borderId="5" xfId="0" applyFont="1" applyFill="1" applyBorder="1" applyAlignment="1">
      <alignment horizontal="center" vertical="center"/>
    </xf>
    <xf numFmtId="0" fontId="1" fillId="9" borderId="6"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5" xfId="0" applyFont="1" applyFill="1" applyBorder="1" applyAlignment="1">
      <alignment horizontal="center" vertical="center"/>
    </xf>
    <xf numFmtId="0" fontId="9" fillId="8" borderId="10"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0" xfId="0" applyFont="1" applyFill="1" applyAlignment="1">
      <alignment horizontal="center" vertical="center"/>
    </xf>
    <xf numFmtId="0" fontId="9" fillId="8" borderId="12" xfId="0" applyFont="1" applyFill="1" applyBorder="1" applyAlignment="1">
      <alignment horizontal="center" vertical="center"/>
    </xf>
    <xf numFmtId="0" fontId="13" fillId="11" borderId="11" xfId="0" applyFont="1" applyFill="1" applyBorder="1" applyAlignment="1">
      <alignment horizontal="center" vertical="center" wrapText="1"/>
    </xf>
    <xf numFmtId="0" fontId="13" fillId="11" borderId="0" xfId="0" applyFont="1" applyFill="1" applyAlignment="1">
      <alignment horizontal="center" vertical="center" wrapText="1"/>
    </xf>
    <xf numFmtId="0" fontId="1" fillId="12" borderId="9" xfId="0" applyFont="1" applyFill="1" applyBorder="1" applyAlignment="1">
      <alignment horizontal="left" vertical="center"/>
    </xf>
    <xf numFmtId="0" fontId="1" fillId="12" borderId="15" xfId="0" applyFont="1" applyFill="1" applyBorder="1" applyAlignment="1">
      <alignment horizontal="left" vertical="center"/>
    </xf>
    <xf numFmtId="0" fontId="1" fillId="12" borderId="10" xfId="0" applyFont="1" applyFill="1" applyBorder="1" applyAlignment="1">
      <alignment horizontal="left" vertical="center"/>
    </xf>
    <xf numFmtId="0" fontId="4" fillId="11" borderId="11" xfId="0" applyFont="1" applyFill="1" applyBorder="1" applyAlignment="1" applyProtection="1">
      <alignment horizontal="center" vertical="top" wrapText="1"/>
      <protection locked="0"/>
    </xf>
    <xf numFmtId="0" fontId="4" fillId="11" borderId="0" xfId="0" applyFont="1" applyFill="1" applyAlignment="1" applyProtection="1">
      <alignment horizontal="center" vertical="top" wrapText="1"/>
      <protection locked="0"/>
    </xf>
    <xf numFmtId="0" fontId="4" fillId="11" borderId="12" xfId="0" applyFont="1" applyFill="1" applyBorder="1" applyAlignment="1" applyProtection="1">
      <alignment horizontal="center" vertical="top" wrapText="1"/>
      <protection locked="0"/>
    </xf>
    <xf numFmtId="0" fontId="4" fillId="11" borderId="13" xfId="0" applyFont="1" applyFill="1" applyBorder="1" applyAlignment="1" applyProtection="1">
      <alignment horizontal="center" vertical="top" wrapText="1"/>
      <protection locked="0"/>
    </xf>
    <xf numFmtId="0" fontId="4" fillId="11" borderId="16" xfId="0" applyFont="1" applyFill="1" applyBorder="1" applyAlignment="1" applyProtection="1">
      <alignment horizontal="center" vertical="top" wrapText="1"/>
      <protection locked="0"/>
    </xf>
    <xf numFmtId="0" fontId="4" fillId="11" borderId="14" xfId="0" applyFont="1" applyFill="1" applyBorder="1" applyAlignment="1" applyProtection="1">
      <alignment horizontal="center" vertical="top" wrapText="1"/>
      <protection locked="0"/>
    </xf>
    <xf numFmtId="1" fontId="8" fillId="0" borderId="9" xfId="0" applyNumberFormat="1" applyFont="1" applyBorder="1" applyAlignment="1">
      <alignment horizontal="center" vertical="center"/>
    </xf>
    <xf numFmtId="1" fontId="8" fillId="0" borderId="10" xfId="0" applyNumberFormat="1" applyFont="1" applyBorder="1" applyAlignment="1">
      <alignment horizontal="center" vertical="center"/>
    </xf>
    <xf numFmtId="1" fontId="8" fillId="0" borderId="11" xfId="0" applyNumberFormat="1" applyFont="1" applyBorder="1" applyAlignment="1">
      <alignment horizontal="center" vertical="center"/>
    </xf>
    <xf numFmtId="1" fontId="8" fillId="0" borderId="12" xfId="0" applyNumberFormat="1" applyFont="1" applyBorder="1" applyAlignment="1">
      <alignment horizontal="center" vertical="center"/>
    </xf>
    <xf numFmtId="0" fontId="0" fillId="0" borderId="17" xfId="0" applyBorder="1" applyAlignment="1">
      <alignment horizontal="center"/>
    </xf>
    <xf numFmtId="164" fontId="0" fillId="0" borderId="17" xfId="0" applyNumberFormat="1" applyBorder="1" applyAlignment="1">
      <alignment horizontal="center" vertical="center"/>
    </xf>
    <xf numFmtId="0" fontId="4" fillId="0" borderId="41"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21" fillId="0" borderId="41" xfId="0" applyFont="1" applyBorder="1" applyAlignment="1" applyProtection="1">
      <alignment horizontal="center" vertical="center"/>
      <protection locked="0"/>
    </xf>
    <xf numFmtId="0" fontId="21" fillId="0" borderId="42" xfId="0" applyFont="1" applyBorder="1" applyAlignment="1" applyProtection="1">
      <alignment horizontal="center" vertical="center"/>
      <protection locked="0"/>
    </xf>
    <xf numFmtId="0" fontId="21" fillId="0" borderId="34" xfId="0" applyFont="1" applyBorder="1" applyAlignment="1" applyProtection="1">
      <alignment horizontal="center" vertical="center"/>
      <protection locked="0"/>
    </xf>
    <xf numFmtId="0" fontId="21" fillId="0" borderId="43" xfId="0" applyFont="1" applyBorder="1" applyAlignment="1" applyProtection="1">
      <alignment horizontal="center" vertical="center"/>
      <protection locked="0"/>
    </xf>
    <xf numFmtId="0" fontId="21" fillId="0" borderId="44" xfId="0" applyFont="1" applyBorder="1" applyAlignment="1" applyProtection="1">
      <alignment horizontal="center" vertical="center"/>
      <protection locked="0"/>
    </xf>
    <xf numFmtId="0" fontId="21" fillId="0" borderId="45" xfId="0" applyFont="1" applyBorder="1" applyAlignment="1" applyProtection="1">
      <alignment horizontal="center" vertical="center"/>
      <protection locked="0"/>
    </xf>
    <xf numFmtId="0" fontId="4" fillId="0" borderId="18" xfId="0" applyFont="1" applyBorder="1" applyAlignment="1">
      <alignment horizontal="center"/>
    </xf>
    <xf numFmtId="0" fontId="4" fillId="0" borderId="19" xfId="0" applyFont="1" applyBorder="1" applyAlignment="1">
      <alignment horizontal="center"/>
    </xf>
    <xf numFmtId="0" fontId="4" fillId="0" borderId="7" xfId="0" applyFont="1" applyBorder="1" applyAlignment="1">
      <alignment horizontal="center"/>
    </xf>
    <xf numFmtId="0" fontId="0" fillId="11" borderId="20" xfId="0" applyFill="1" applyBorder="1" applyAlignment="1" applyProtection="1">
      <alignment horizontal="center"/>
      <protection locked="0"/>
    </xf>
    <xf numFmtId="0" fontId="0" fillId="11" borderId="21" xfId="0" applyFill="1" applyBorder="1" applyAlignment="1" applyProtection="1">
      <alignment horizontal="center"/>
      <protection locked="0"/>
    </xf>
    <xf numFmtId="0" fontId="0" fillId="11" borderId="22" xfId="0" applyFill="1" applyBorder="1" applyAlignment="1" applyProtection="1">
      <alignment horizontal="center"/>
      <protection locked="0"/>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9" xfId="0" applyFont="1" applyBorder="1" applyAlignment="1">
      <alignment horizontal="center" vertical="center" wrapText="1"/>
    </xf>
    <xf numFmtId="0" fontId="4" fillId="0" borderId="11" xfId="0" applyFont="1" applyBorder="1" applyAlignment="1">
      <alignment horizontal="center" vertical="center"/>
    </xf>
    <xf numFmtId="0" fontId="13" fillId="11" borderId="0" xfId="0" applyFont="1" applyFill="1" applyAlignment="1">
      <alignment horizontal="center" vertical="center"/>
    </xf>
    <xf numFmtId="0" fontId="4" fillId="0" borderId="18" xfId="0" applyFont="1" applyBorder="1" applyAlignment="1">
      <alignment horizontal="left"/>
    </xf>
    <xf numFmtId="0" fontId="4" fillId="0" borderId="19" xfId="0" applyFont="1" applyBorder="1" applyAlignment="1">
      <alignment horizontal="left"/>
    </xf>
    <xf numFmtId="0" fontId="4" fillId="0" borderId="7" xfId="0" applyFont="1" applyBorder="1" applyAlignment="1">
      <alignment horizontal="left"/>
    </xf>
    <xf numFmtId="0" fontId="0" fillId="11" borderId="9" xfId="0" applyFill="1" applyBorder="1" applyAlignment="1" applyProtection="1">
      <alignment horizontal="center" vertical="top" wrapText="1"/>
      <protection locked="0"/>
    </xf>
    <xf numFmtId="0" fontId="0" fillId="11" borderId="15" xfId="0" applyFill="1" applyBorder="1" applyAlignment="1" applyProtection="1">
      <alignment horizontal="center" vertical="top" wrapText="1"/>
      <protection locked="0"/>
    </xf>
    <xf numFmtId="0" fontId="0" fillId="11" borderId="10" xfId="0" applyFill="1" applyBorder="1" applyAlignment="1" applyProtection="1">
      <alignment horizontal="center" vertical="top" wrapText="1"/>
      <protection locked="0"/>
    </xf>
    <xf numFmtId="0" fontId="0" fillId="11" borderId="11" xfId="0" applyFill="1" applyBorder="1" applyAlignment="1" applyProtection="1">
      <alignment horizontal="center" vertical="top" wrapText="1"/>
      <protection locked="0"/>
    </xf>
    <xf numFmtId="0" fontId="0" fillId="11" borderId="0" xfId="0" applyFill="1" applyAlignment="1" applyProtection="1">
      <alignment horizontal="center" vertical="top" wrapText="1"/>
      <protection locked="0"/>
    </xf>
    <xf numFmtId="0" fontId="0" fillId="11" borderId="12" xfId="0" applyFill="1" applyBorder="1" applyAlignment="1" applyProtection="1">
      <alignment horizontal="center" vertical="top" wrapText="1"/>
      <protection locked="0"/>
    </xf>
    <xf numFmtId="0" fontId="0" fillId="11" borderId="13" xfId="0" applyFill="1" applyBorder="1" applyAlignment="1" applyProtection="1">
      <alignment horizontal="center" vertical="top" wrapText="1"/>
      <protection locked="0"/>
    </xf>
    <xf numFmtId="0" fontId="0" fillId="11" borderId="16" xfId="0" applyFill="1" applyBorder="1" applyAlignment="1" applyProtection="1">
      <alignment horizontal="center" vertical="top" wrapText="1"/>
      <protection locked="0"/>
    </xf>
    <xf numFmtId="0" fontId="0" fillId="11" borderId="14" xfId="0" applyFill="1" applyBorder="1" applyAlignment="1" applyProtection="1">
      <alignment horizontal="center" vertical="top" wrapText="1"/>
      <protection locked="0"/>
    </xf>
    <xf numFmtId="0" fontId="12" fillId="11" borderId="18" xfId="0" applyFont="1" applyFill="1" applyBorder="1" applyAlignment="1">
      <alignment horizontal="center"/>
    </xf>
    <xf numFmtId="0" fontId="12" fillId="11" borderId="19" xfId="0" applyFont="1" applyFill="1" applyBorder="1" applyAlignment="1">
      <alignment horizontal="center"/>
    </xf>
    <xf numFmtId="0" fontId="12" fillId="11" borderId="7" xfId="0" applyFont="1" applyFill="1" applyBorder="1" applyAlignment="1">
      <alignment horizontal="center"/>
    </xf>
    <xf numFmtId="1" fontId="7" fillId="0" borderId="37" xfId="0" applyNumberFormat="1" applyFont="1" applyBorder="1" applyAlignment="1">
      <alignment horizontal="center" vertical="center"/>
    </xf>
    <xf numFmtId="1" fontId="7" fillId="0" borderId="38" xfId="0" applyNumberFormat="1" applyFont="1" applyBorder="1" applyAlignment="1">
      <alignment horizontal="center" vertical="center"/>
    </xf>
    <xf numFmtId="1" fontId="7" fillId="0" borderId="39" xfId="0" applyNumberFormat="1" applyFont="1" applyBorder="1" applyAlignment="1">
      <alignment horizontal="center" vertical="center"/>
    </xf>
    <xf numFmtId="1" fontId="7" fillId="0" borderId="40" xfId="0" applyNumberFormat="1" applyFont="1" applyBorder="1" applyAlignment="1">
      <alignment horizontal="center" vertical="center"/>
    </xf>
    <xf numFmtId="0" fontId="20" fillId="0" borderId="17" xfId="0" applyFont="1" applyBorder="1" applyAlignment="1">
      <alignment horizontal="center"/>
    </xf>
    <xf numFmtId="0" fontId="20" fillId="0" borderId="17" xfId="0" applyFont="1" applyBorder="1" applyAlignment="1">
      <alignment horizontal="center" vertical="center"/>
    </xf>
    <xf numFmtId="0" fontId="4" fillId="0" borderId="12" xfId="0" applyFont="1" applyBorder="1" applyAlignment="1">
      <alignment horizontal="center" vertical="center"/>
    </xf>
    <xf numFmtId="0" fontId="4" fillId="0" borderId="27" xfId="0" applyFont="1" applyBorder="1" applyAlignment="1">
      <alignment horizontal="center"/>
    </xf>
    <xf numFmtId="0" fontId="4" fillId="0" borderId="28" xfId="0" applyFont="1" applyBorder="1" applyAlignment="1">
      <alignment horizontal="center"/>
    </xf>
    <xf numFmtId="0" fontId="4" fillId="0" borderId="29" xfId="0" applyFont="1" applyBorder="1" applyAlignment="1">
      <alignment horizontal="center"/>
    </xf>
    <xf numFmtId="0" fontId="1" fillId="12" borderId="18" xfId="0" applyFont="1" applyFill="1" applyBorder="1" applyAlignment="1">
      <alignment horizontal="left" vertical="top"/>
    </xf>
    <xf numFmtId="0" fontId="1" fillId="12" borderId="19" xfId="0" applyFont="1" applyFill="1" applyBorder="1" applyAlignment="1">
      <alignment horizontal="left" vertical="top"/>
    </xf>
    <xf numFmtId="0" fontId="1" fillId="12" borderId="7" xfId="0" applyFont="1" applyFill="1" applyBorder="1" applyAlignment="1">
      <alignment horizontal="left" vertical="top"/>
    </xf>
    <xf numFmtId="0" fontId="22" fillId="0" borderId="41" xfId="0" applyFont="1" applyBorder="1" applyAlignment="1" applyProtection="1">
      <alignment horizontal="center" vertical="center"/>
      <protection locked="0"/>
    </xf>
    <xf numFmtId="0" fontId="22" fillId="0" borderId="42" xfId="0" applyFont="1" applyBorder="1" applyAlignment="1" applyProtection="1">
      <alignment horizontal="center" vertical="center"/>
      <protection locked="0"/>
    </xf>
    <xf numFmtId="0" fontId="22" fillId="0" borderId="34" xfId="0" applyFont="1" applyBorder="1" applyAlignment="1" applyProtection="1">
      <alignment horizontal="center" vertical="center"/>
      <protection locked="0"/>
    </xf>
    <xf numFmtId="0" fontId="22" fillId="0" borderId="43" xfId="0" applyFont="1" applyBorder="1" applyAlignment="1" applyProtection="1">
      <alignment horizontal="center" vertical="center"/>
      <protection locked="0"/>
    </xf>
    <xf numFmtId="0" fontId="22" fillId="0" borderId="35" xfId="0" applyFont="1" applyBorder="1" applyAlignment="1" applyProtection="1">
      <alignment horizontal="center" vertical="center"/>
      <protection locked="0"/>
    </xf>
    <xf numFmtId="0" fontId="22" fillId="0" borderId="46" xfId="0" applyFont="1" applyBorder="1" applyAlignment="1" applyProtection="1">
      <alignment horizontal="center" vertical="center"/>
      <protection locked="0"/>
    </xf>
    <xf numFmtId="0" fontId="4" fillId="11" borderId="9" xfId="0" applyFont="1" applyFill="1" applyBorder="1" applyAlignment="1" applyProtection="1">
      <alignment horizontal="center" vertical="top" wrapText="1"/>
      <protection locked="0"/>
    </xf>
    <xf numFmtId="0" fontId="4" fillId="11" borderId="15" xfId="0" applyFont="1" applyFill="1" applyBorder="1" applyAlignment="1" applyProtection="1">
      <alignment horizontal="center" vertical="top" wrapText="1"/>
      <protection locked="0"/>
    </xf>
    <xf numFmtId="0" fontId="4" fillId="11" borderId="10" xfId="0" applyFont="1" applyFill="1" applyBorder="1" applyAlignment="1" applyProtection="1">
      <alignment horizontal="center" vertical="top" wrapText="1"/>
      <protection locked="0"/>
    </xf>
  </cellXfs>
  <cellStyles count="1">
    <cellStyle name="Normal" xfId="0" builtinId="0"/>
  </cellStyles>
  <dxfs count="16">
    <dxf>
      <fill>
        <patternFill>
          <bgColor rgb="FFC00000"/>
        </patternFill>
      </fill>
    </dxf>
    <dxf>
      <fill>
        <patternFill>
          <bgColor theme="9"/>
        </patternFill>
      </fill>
    </dxf>
    <dxf>
      <fill>
        <patternFill>
          <bgColor rgb="FFFFC000"/>
        </patternFill>
      </fill>
    </dxf>
    <dxf>
      <fill>
        <patternFill>
          <bgColor rgb="FF92D050"/>
        </patternFill>
      </fill>
    </dxf>
    <dxf>
      <fill>
        <patternFill>
          <bgColor rgb="FF00B050"/>
        </patternFill>
      </fill>
    </dxf>
    <dxf>
      <fill>
        <patternFill>
          <bgColor rgb="FFC00000"/>
        </patternFill>
      </fill>
    </dxf>
    <dxf>
      <fill>
        <patternFill>
          <bgColor theme="9"/>
        </patternFill>
      </fill>
    </dxf>
    <dxf>
      <fill>
        <patternFill>
          <bgColor rgb="FFFFC000"/>
        </patternFill>
      </fill>
    </dxf>
    <dxf>
      <fill>
        <patternFill>
          <bgColor rgb="FF92D050"/>
        </patternFill>
      </fill>
    </dxf>
    <dxf>
      <fill>
        <patternFill>
          <bgColor rgb="FF00B050"/>
        </patternFill>
      </fill>
    </dxf>
    <dxf>
      <fill>
        <patternFill>
          <bgColor rgb="FFC00000"/>
        </patternFill>
      </fill>
    </dxf>
    <dxf>
      <fill>
        <patternFill>
          <bgColor theme="9"/>
        </patternFill>
      </fill>
    </dxf>
    <dxf>
      <fill>
        <patternFill>
          <bgColor rgb="FFFFCC00"/>
        </patternFill>
      </fill>
    </dxf>
    <dxf>
      <fill>
        <patternFill>
          <bgColor rgb="FF92D050"/>
        </patternFill>
      </fill>
    </dxf>
    <dxf>
      <fill>
        <patternFill>
          <bgColor rgb="FF00B050"/>
        </patternFill>
      </fill>
    </dxf>
    <dxf>
      <fill>
        <patternFill>
          <bgColor theme="8"/>
        </patternFill>
      </fill>
    </dxf>
  </dxfs>
  <tableStyles count="0" defaultTableStyle="TableStyleMedium2" defaultPivotStyle="PivotStyleLight16"/>
  <colors>
    <mruColors>
      <color rgb="FF92D050"/>
      <color rgb="FFDCE6F2"/>
      <color rgb="FF9BBB59"/>
      <color rgb="FFBFBFBF"/>
      <color rgb="FFFFCC00"/>
      <color rgb="FF00B050"/>
      <color rgb="FF4BACC6"/>
      <color rgb="FF1FA5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469184407504619"/>
          <c:y val="0.10671502208580522"/>
          <c:w val="0.69061631184990768"/>
          <c:h val="0.77730619006137858"/>
        </c:manualLayout>
      </c:layout>
      <c:radarChart>
        <c:radarStyle val="marker"/>
        <c:varyColors val="0"/>
        <c:ser>
          <c:idx val="0"/>
          <c:order val="0"/>
          <c:spPr>
            <a:ln w="38100">
              <a:solidFill>
                <a:schemeClr val="accent1"/>
              </a:solidFill>
              <a:prstDash val="sysDot"/>
            </a:ln>
          </c:spPr>
          <c:marker>
            <c:symbol val="circle"/>
            <c:size val="6"/>
            <c:spPr>
              <a:solidFill>
                <a:srgbClr val="00B050"/>
              </a:solidFill>
            </c:spPr>
          </c:marker>
          <c:cat>
            <c:strRef>
              <c:f>('Grille d''évaluation'!$A$7,'Grille d''évaluation'!$A$10,'Grille d''évaluation'!$A$13,'Grille d''évaluation'!$A$16,'Grille d''évaluation'!$A$19,'Grille d''évaluation'!$A$22)</c:f>
              <c:strCache>
                <c:ptCount val="6"/>
                <c:pt idx="0">
                  <c:v>Qualité 1 : Agilité</c:v>
                </c:pt>
                <c:pt idx="1">
                  <c:v>Qualité 2 : Engagement</c:v>
                </c:pt>
                <c:pt idx="2">
                  <c:v>Qualité 3 : Responsabilité</c:v>
                </c:pt>
                <c:pt idx="3">
                  <c:v>Qualité 4 : Ouverture</c:v>
                </c:pt>
                <c:pt idx="4">
                  <c:v>Qualité 5 : Discernement </c:v>
                </c:pt>
                <c:pt idx="5">
                  <c:v>Qualité 6 : Expertise</c:v>
                </c:pt>
              </c:strCache>
            </c:strRef>
          </c:cat>
          <c:val>
            <c:numRef>
              <c:f>('Grille d''évaluation'!$H$7,'Grille d''évaluation'!$H$10,'Grille d''évaluation'!$H$13,'Grille d''évaluation'!$H$16,'Grille d''évaluation'!$H$19,'Grille d''évaluation'!$H$22)</c:f>
              <c:numCache>
                <c:formatCode>General</c:formatCode>
                <c:ptCount val="6"/>
                <c:pt idx="0">
                  <c:v>100</c:v>
                </c:pt>
                <c:pt idx="1">
                  <c:v>90</c:v>
                </c:pt>
                <c:pt idx="2">
                  <c:v>90</c:v>
                </c:pt>
                <c:pt idx="3">
                  <c:v>90</c:v>
                </c:pt>
                <c:pt idx="4">
                  <c:v>90</c:v>
                </c:pt>
                <c:pt idx="5">
                  <c:v>80</c:v>
                </c:pt>
              </c:numCache>
            </c:numRef>
          </c:val>
          <c:extLst>
            <c:ext xmlns:c16="http://schemas.microsoft.com/office/drawing/2014/chart" uri="{C3380CC4-5D6E-409C-BE32-E72D297353CC}">
              <c16:uniqueId val="{00000000-2C10-4CEA-9A60-5BEE40E19A04}"/>
            </c:ext>
          </c:extLst>
        </c:ser>
        <c:ser>
          <c:idx val="1"/>
          <c:order val="1"/>
          <c:spPr>
            <a:ln w="9525">
              <a:prstDash val="sysDot"/>
            </a:ln>
          </c:spPr>
          <c:marker>
            <c:symbol val="none"/>
          </c:marker>
          <c:dPt>
            <c:idx val="4"/>
            <c:bubble3D val="0"/>
            <c:extLst>
              <c:ext xmlns:c16="http://schemas.microsoft.com/office/drawing/2014/chart" uri="{C3380CC4-5D6E-409C-BE32-E72D297353CC}">
                <c16:uniqueId val="{00000001-2C10-4CEA-9A60-5BEE40E19A04}"/>
              </c:ext>
            </c:extLst>
          </c:dPt>
          <c:val>
            <c:numRef>
              <c:f>('Grille d''évaluation'!$I$7,'Grille d''évaluation'!$I$10,'Grille d''évaluation'!$I$13,'Grille d''évaluation'!$I$16,'Grille d''évaluation'!$I$19,'Grille d''évaluation'!$I$22)</c:f>
              <c:numCache>
                <c:formatCode>General</c:formatCode>
                <c:ptCount val="6"/>
                <c:pt idx="0">
                  <c:v>40</c:v>
                </c:pt>
                <c:pt idx="1">
                  <c:v>40</c:v>
                </c:pt>
                <c:pt idx="2">
                  <c:v>40</c:v>
                </c:pt>
                <c:pt idx="3">
                  <c:v>40</c:v>
                </c:pt>
                <c:pt idx="4">
                  <c:v>40</c:v>
                </c:pt>
                <c:pt idx="5">
                  <c:v>40</c:v>
                </c:pt>
              </c:numCache>
            </c:numRef>
          </c:val>
          <c:extLst>
            <c:ext xmlns:c16="http://schemas.microsoft.com/office/drawing/2014/chart" uri="{C3380CC4-5D6E-409C-BE32-E72D297353CC}">
              <c16:uniqueId val="{00000002-2C10-4CEA-9A60-5BEE40E19A04}"/>
            </c:ext>
          </c:extLst>
        </c:ser>
        <c:dLbls>
          <c:showLegendKey val="0"/>
          <c:showVal val="0"/>
          <c:showCatName val="0"/>
          <c:showSerName val="0"/>
          <c:showPercent val="0"/>
          <c:showBubbleSize val="0"/>
        </c:dLbls>
        <c:axId val="163923072"/>
        <c:axId val="163966336"/>
      </c:radarChart>
      <c:catAx>
        <c:axId val="163923072"/>
        <c:scaling>
          <c:orientation val="minMax"/>
        </c:scaling>
        <c:delete val="0"/>
        <c:axPos val="b"/>
        <c:majorGridlines/>
        <c:numFmt formatCode="General" sourceLinked="0"/>
        <c:majorTickMark val="out"/>
        <c:minorTickMark val="none"/>
        <c:tickLblPos val="nextTo"/>
        <c:txPr>
          <a:bodyPr/>
          <a:lstStyle/>
          <a:p>
            <a:pPr>
              <a:defRPr sz="1050" b="1">
                <a:solidFill>
                  <a:schemeClr val="accent2"/>
                </a:solidFill>
              </a:defRPr>
            </a:pPr>
            <a:endParaRPr lang="en-US"/>
          </a:p>
        </c:txPr>
        <c:crossAx val="163966336"/>
        <c:crosses val="autoZero"/>
        <c:auto val="1"/>
        <c:lblAlgn val="ctr"/>
        <c:lblOffset val="100"/>
        <c:noMultiLvlLbl val="0"/>
      </c:catAx>
      <c:valAx>
        <c:axId val="163966336"/>
        <c:scaling>
          <c:orientation val="minMax"/>
          <c:max val="100"/>
          <c:min val="0"/>
        </c:scaling>
        <c:delete val="0"/>
        <c:axPos val="l"/>
        <c:numFmt formatCode="General" sourceLinked="1"/>
        <c:majorTickMark val="out"/>
        <c:minorTickMark val="none"/>
        <c:tickLblPos val="nextTo"/>
        <c:spPr>
          <a:noFill/>
          <a:ln w="25400">
            <a:solidFill>
              <a:schemeClr val="tx1"/>
            </a:solidFill>
          </a:ln>
        </c:spPr>
        <c:txPr>
          <a:bodyPr/>
          <a:lstStyle/>
          <a:p>
            <a:pPr>
              <a:defRPr sz="1050" b="1"/>
            </a:pPr>
            <a:endParaRPr lang="en-US"/>
          </a:p>
        </c:txPr>
        <c:crossAx val="163923072"/>
        <c:crosses val="autoZero"/>
        <c:crossBetween val="between"/>
        <c:majorUnit val="20"/>
      </c:valAx>
      <c:spPr>
        <a:noFill/>
      </c:spPr>
    </c:plotArea>
    <c:plotVisOnly val="1"/>
    <c:dispBlanksAs val="gap"/>
    <c:showDLblsOverMax val="0"/>
  </c:chart>
  <c:spPr>
    <a:solidFill>
      <a:srgbClr val="DCE6F2">
        <a:alpha val="60000"/>
      </a:srgbClr>
    </a:solidFill>
  </c:spPr>
  <c:printSettings>
    <c:headerFooter/>
    <c:pageMargins b="0.75" l="0.7" r="0.7" t="0.75" header="0.3" footer="0.3"/>
    <c:pageSetup/>
  </c:printSettings>
</c:chartSpace>
</file>

<file path=xl/ctrlProps/ctrlProp1.xml><?xml version="1.0" encoding="utf-8"?>
<formControlPr xmlns="http://schemas.microsoft.com/office/spreadsheetml/2009/9/main" objectType="Scroll" dx="20" fmlaLink="$S$7" horiz="1" inc="5" max="100" page="10" val="100"/>
</file>

<file path=xl/ctrlProps/ctrlProp2.xml><?xml version="1.0" encoding="utf-8"?>
<formControlPr xmlns="http://schemas.microsoft.com/office/spreadsheetml/2009/9/main" objectType="Scroll" dx="20" fmlaLink="$S$10" horiz="1" inc="5" max="100" page="10" val="90"/>
</file>

<file path=xl/ctrlProps/ctrlProp3.xml><?xml version="1.0" encoding="utf-8"?>
<formControlPr xmlns="http://schemas.microsoft.com/office/spreadsheetml/2009/9/main" objectType="Scroll" dx="20" fmlaLink="$S$13" horiz="1" inc="5" max="100" page="10" val="90"/>
</file>

<file path=xl/ctrlProps/ctrlProp4.xml><?xml version="1.0" encoding="utf-8"?>
<formControlPr xmlns="http://schemas.microsoft.com/office/spreadsheetml/2009/9/main" objectType="Scroll" dx="20" fmlaLink="$S$16" horiz="1" inc="5" max="100" page="10" val="90"/>
</file>

<file path=xl/ctrlProps/ctrlProp5.xml><?xml version="1.0" encoding="utf-8"?>
<formControlPr xmlns="http://schemas.microsoft.com/office/spreadsheetml/2009/9/main" objectType="Scroll" dx="20" fmlaLink="$S$19" horiz="1" inc="5" max="100" page="10" val="90"/>
</file>

<file path=xl/ctrlProps/ctrlProp6.xml><?xml version="1.0" encoding="utf-8"?>
<formControlPr xmlns="http://schemas.microsoft.com/office/spreadsheetml/2009/9/main" objectType="Scroll" dx="20" fmlaLink="$S$22" horiz="1" inc="5" max="100" page="10" val="80"/>
</file>

<file path=xl/ctrlProps/ctrlProp7.xml><?xml version="1.0" encoding="utf-8"?>
<formControlPr xmlns="http://schemas.microsoft.com/office/spreadsheetml/2009/9/main" objectType="Scroll" dx="20" fmlaLink="$R$58" horiz="1" inc="20" max="120" min="20" page="0" val="100"/>
</file>

<file path=xl/ctrlProps/ctrlProp8.xml><?xml version="1.0" encoding="utf-8"?>
<formControlPr xmlns="http://schemas.microsoft.com/office/spreadsheetml/2009/9/main" objectType="Scroll" dx="20" fmlaLink="$R$73" horiz="1" inc="20" max="120" min="20" page="0" val="100"/>
</file>

<file path=xl/ctrlProps/ctrlProp9.xml><?xml version="1.0" encoding="utf-8"?>
<formControlPr xmlns="http://schemas.microsoft.com/office/spreadsheetml/2009/9/main" objectType="Scroll" dx="20" fmlaLink="$R$88" horiz="1" inc="20" max="120" min="20" page="0" val="100"/>
</file>

<file path=xl/ctrlProps/ctrlProp10.xml><?xml version="1.0" encoding="utf-8"?>
<formControlPr xmlns="http://schemas.microsoft.com/office/spreadsheetml/2009/9/main" objectType="Scroll" dx="20" fmlaLink="$R$102" horiz="1" inc="20" max="120" min="20" page="0" val="100"/>
</file>

<file path=xl/ctrlProps/ctrlProp11.xml><?xml version="1.0" encoding="utf-8"?>
<formControlPr xmlns="http://schemas.microsoft.com/office/spreadsheetml/2009/9/main" objectType="Scroll" dx="20" fmlaLink="$R$119" horiz="1" inc="20" max="120" min="20" page="0" val="2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9525</xdr:colOff>
          <xdr:row>7</xdr:row>
          <xdr:rowOff>9525</xdr:rowOff>
        </xdr:from>
        <xdr:to>
          <xdr:col>8</xdr:col>
          <xdr:colOff>0</xdr:colOff>
          <xdr:row>7</xdr:row>
          <xdr:rowOff>187325</xdr:rowOff>
        </xdr:to>
        <xdr:sp macro="" textlink="">
          <xdr:nvSpPr>
            <xdr:cNvPr id="2054" name="Scroll Bar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10</xdr:row>
          <xdr:rowOff>28575</xdr:rowOff>
        </xdr:from>
        <xdr:to>
          <xdr:col>8</xdr:col>
          <xdr:colOff>0</xdr:colOff>
          <xdr:row>10</xdr:row>
          <xdr:rowOff>187325</xdr:rowOff>
        </xdr:to>
        <xdr:sp macro="" textlink="">
          <xdr:nvSpPr>
            <xdr:cNvPr id="2055" name="Scroll Bar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13</xdr:row>
          <xdr:rowOff>28575</xdr:rowOff>
        </xdr:from>
        <xdr:to>
          <xdr:col>8</xdr:col>
          <xdr:colOff>0</xdr:colOff>
          <xdr:row>13</xdr:row>
          <xdr:rowOff>187325</xdr:rowOff>
        </xdr:to>
        <xdr:sp macro="" textlink="">
          <xdr:nvSpPr>
            <xdr:cNvPr id="2056" name="Scroll Bar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xdr:row>
          <xdr:rowOff>28575</xdr:rowOff>
        </xdr:from>
        <xdr:to>
          <xdr:col>8</xdr:col>
          <xdr:colOff>0</xdr:colOff>
          <xdr:row>16</xdr:row>
          <xdr:rowOff>187325</xdr:rowOff>
        </xdr:to>
        <xdr:sp macro="" textlink="">
          <xdr:nvSpPr>
            <xdr:cNvPr id="2057" name="Scroll Bar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19</xdr:row>
          <xdr:rowOff>28575</xdr:rowOff>
        </xdr:from>
        <xdr:to>
          <xdr:col>8</xdr:col>
          <xdr:colOff>0</xdr:colOff>
          <xdr:row>19</xdr:row>
          <xdr:rowOff>187325</xdr:rowOff>
        </xdr:to>
        <xdr:sp macro="" textlink="">
          <xdr:nvSpPr>
            <xdr:cNvPr id="2058" name="Scroll Bar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22</xdr:row>
          <xdr:rowOff>9525</xdr:rowOff>
        </xdr:from>
        <xdr:to>
          <xdr:col>8</xdr:col>
          <xdr:colOff>0</xdr:colOff>
          <xdr:row>22</xdr:row>
          <xdr:rowOff>187325</xdr:rowOff>
        </xdr:to>
        <xdr:sp macro="" textlink="">
          <xdr:nvSpPr>
            <xdr:cNvPr id="2059" name="Scroll Bar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8</xdr:col>
      <xdr:colOff>499534</xdr:colOff>
      <xdr:row>6</xdr:row>
      <xdr:rowOff>2561</xdr:rowOff>
    </xdr:from>
    <xdr:to>
      <xdr:col>16</xdr:col>
      <xdr:colOff>762001</xdr:colOff>
      <xdr:row>23</xdr:row>
      <xdr:rowOff>0</xdr:rowOff>
    </xdr:to>
    <xdr:graphicFrame macro="">
      <xdr:nvGraphicFramePr>
        <xdr:cNvPr id="2" name="Graphique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0</xdr:colOff>
          <xdr:row>58</xdr:row>
          <xdr:rowOff>28575</xdr:rowOff>
        </xdr:from>
        <xdr:to>
          <xdr:col>14</xdr:col>
          <xdr:colOff>0</xdr:colOff>
          <xdr:row>59</xdr:row>
          <xdr:rowOff>187325</xdr:rowOff>
        </xdr:to>
        <xdr:sp macro="" textlink="">
          <xdr:nvSpPr>
            <xdr:cNvPr id="2066" name="Scroll Bar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73</xdr:row>
          <xdr:rowOff>28575</xdr:rowOff>
        </xdr:from>
        <xdr:to>
          <xdr:col>14</xdr:col>
          <xdr:colOff>15875</xdr:colOff>
          <xdr:row>74</xdr:row>
          <xdr:rowOff>187325</xdr:rowOff>
        </xdr:to>
        <xdr:sp macro="" textlink="">
          <xdr:nvSpPr>
            <xdr:cNvPr id="2067" name="Scroll Bar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88</xdr:row>
          <xdr:rowOff>28575</xdr:rowOff>
        </xdr:from>
        <xdr:to>
          <xdr:col>14</xdr:col>
          <xdr:colOff>15875</xdr:colOff>
          <xdr:row>90</xdr:row>
          <xdr:rowOff>0</xdr:rowOff>
        </xdr:to>
        <xdr:sp macro="" textlink="">
          <xdr:nvSpPr>
            <xdr:cNvPr id="2068" name="Scroll Bar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103</xdr:row>
          <xdr:rowOff>28575</xdr:rowOff>
        </xdr:from>
        <xdr:to>
          <xdr:col>14</xdr:col>
          <xdr:colOff>34925</xdr:colOff>
          <xdr:row>105</xdr:row>
          <xdr:rowOff>0</xdr:rowOff>
        </xdr:to>
        <xdr:sp macro="" textlink="">
          <xdr:nvSpPr>
            <xdr:cNvPr id="2069" name="Scroll Bar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119</xdr:row>
          <xdr:rowOff>28575</xdr:rowOff>
        </xdr:from>
        <xdr:to>
          <xdr:col>14</xdr:col>
          <xdr:colOff>34925</xdr:colOff>
          <xdr:row>121</xdr:row>
          <xdr:rowOff>0</xdr:rowOff>
        </xdr:to>
        <xdr:sp macro="" textlink="">
          <xdr:nvSpPr>
            <xdr:cNvPr id="2070" name="Scroll Bar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80DB-A5CC-8048-9303-D06F3EBCCE61}">
  <dimension ref="A1:J39"/>
  <sheetViews>
    <sheetView topLeftCell="A29" zoomScale="115" zoomScaleNormal="115" workbookViewId="0">
      <selection activeCell="A38" sqref="A38:J39"/>
    </sheetView>
  </sheetViews>
  <sheetFormatPr baseColWidth="10" defaultColWidth="11.42578125" defaultRowHeight="15" x14ac:dyDescent="0.25"/>
  <sheetData>
    <row r="1" spans="1:10" x14ac:dyDescent="0.25">
      <c r="A1" s="61" t="s">
        <v>49</v>
      </c>
      <c r="B1" s="62"/>
      <c r="C1" s="62"/>
      <c r="D1" s="62"/>
      <c r="E1" s="62"/>
      <c r="F1" s="62"/>
      <c r="G1" s="62"/>
      <c r="H1" s="62"/>
      <c r="I1" s="62"/>
      <c r="J1" s="63"/>
    </row>
    <row r="2" spans="1:10" ht="15.75" thickBot="1" x14ac:dyDescent="0.3">
      <c r="A2" s="64"/>
      <c r="B2" s="65"/>
      <c r="C2" s="65"/>
      <c r="D2" s="65"/>
      <c r="E2" s="65"/>
      <c r="F2" s="65"/>
      <c r="G2" s="65"/>
      <c r="H2" s="65"/>
      <c r="I2" s="65"/>
      <c r="J2" s="66"/>
    </row>
    <row r="3" spans="1:10" x14ac:dyDescent="0.25">
      <c r="A3" s="67" t="s">
        <v>61</v>
      </c>
      <c r="B3" s="68"/>
      <c r="C3" s="68"/>
      <c r="D3" s="68"/>
      <c r="E3" s="68"/>
      <c r="F3" s="68"/>
      <c r="G3" s="68"/>
      <c r="H3" s="68"/>
      <c r="I3" s="68"/>
      <c r="J3" s="69"/>
    </row>
    <row r="4" spans="1:10" x14ac:dyDescent="0.25">
      <c r="A4" s="70"/>
      <c r="B4" s="71"/>
      <c r="C4" s="71"/>
      <c r="D4" s="71"/>
      <c r="E4" s="71"/>
      <c r="F4" s="71"/>
      <c r="G4" s="71"/>
      <c r="H4" s="71"/>
      <c r="I4" s="71"/>
      <c r="J4" s="72"/>
    </row>
    <row r="5" spans="1:10" ht="15.75" thickBot="1" x14ac:dyDescent="0.3">
      <c r="A5" s="73"/>
      <c r="B5" s="74"/>
      <c r="C5" s="74"/>
      <c r="D5" s="74"/>
      <c r="E5" s="74"/>
      <c r="F5" s="74"/>
      <c r="G5" s="74"/>
      <c r="H5" s="74"/>
      <c r="I5" s="74"/>
      <c r="J5" s="75"/>
    </row>
    <row r="6" spans="1:10" ht="14.45" customHeight="1" x14ac:dyDescent="0.25">
      <c r="A6" s="67" t="s">
        <v>51</v>
      </c>
      <c r="B6" s="76"/>
      <c r="C6" s="76"/>
      <c r="D6" s="76"/>
      <c r="E6" s="76"/>
      <c r="F6" s="76"/>
      <c r="G6" s="76"/>
      <c r="H6" s="76"/>
      <c r="I6" s="76"/>
      <c r="J6" s="77"/>
    </row>
    <row r="7" spans="1:10" x14ac:dyDescent="0.25">
      <c r="A7" s="78"/>
      <c r="B7" s="79"/>
      <c r="C7" s="79"/>
      <c r="D7" s="79"/>
      <c r="E7" s="79"/>
      <c r="F7" s="79"/>
      <c r="G7" s="79"/>
      <c r="H7" s="79"/>
      <c r="I7" s="79"/>
      <c r="J7" s="80"/>
    </row>
    <row r="8" spans="1:10" x14ac:dyDescent="0.25">
      <c r="A8" s="78"/>
      <c r="B8" s="79"/>
      <c r="C8" s="79"/>
      <c r="D8" s="79"/>
      <c r="E8" s="79"/>
      <c r="F8" s="79"/>
      <c r="G8" s="79"/>
      <c r="H8" s="79"/>
      <c r="I8" s="79"/>
      <c r="J8" s="80"/>
    </row>
    <row r="9" spans="1:10" x14ac:dyDescent="0.25">
      <c r="A9" s="78"/>
      <c r="B9" s="79"/>
      <c r="C9" s="79"/>
      <c r="D9" s="79"/>
      <c r="E9" s="79"/>
      <c r="F9" s="79"/>
      <c r="G9" s="79"/>
      <c r="H9" s="79"/>
      <c r="I9" s="79"/>
      <c r="J9" s="80"/>
    </row>
    <row r="10" spans="1:10" x14ac:dyDescent="0.25">
      <c r="A10" s="78"/>
      <c r="B10" s="79"/>
      <c r="C10" s="79"/>
      <c r="D10" s="79"/>
      <c r="E10" s="79"/>
      <c r="F10" s="79"/>
      <c r="G10" s="79"/>
      <c r="H10" s="79"/>
      <c r="I10" s="79"/>
      <c r="J10" s="80"/>
    </row>
    <row r="11" spans="1:10" x14ac:dyDescent="0.25">
      <c r="A11" s="78"/>
      <c r="B11" s="79"/>
      <c r="C11" s="79"/>
      <c r="D11" s="79"/>
      <c r="E11" s="79"/>
      <c r="F11" s="79"/>
      <c r="G11" s="79"/>
      <c r="H11" s="79"/>
      <c r="I11" s="79"/>
      <c r="J11" s="80"/>
    </row>
    <row r="12" spans="1:10" x14ac:dyDescent="0.25">
      <c r="A12" s="78"/>
      <c r="B12" s="79"/>
      <c r="C12" s="79"/>
      <c r="D12" s="79"/>
      <c r="E12" s="79"/>
      <c r="F12" s="79"/>
      <c r="G12" s="79"/>
      <c r="H12" s="79"/>
      <c r="I12" s="79"/>
      <c r="J12" s="80"/>
    </row>
    <row r="13" spans="1:10" x14ac:dyDescent="0.25">
      <c r="A13" s="78"/>
      <c r="B13" s="79"/>
      <c r="C13" s="79"/>
      <c r="D13" s="79"/>
      <c r="E13" s="79"/>
      <c r="F13" s="79"/>
      <c r="G13" s="79"/>
      <c r="H13" s="79"/>
      <c r="I13" s="79"/>
      <c r="J13" s="80"/>
    </row>
    <row r="14" spans="1:10" x14ac:dyDescent="0.25">
      <c r="A14" s="78"/>
      <c r="B14" s="79"/>
      <c r="C14" s="79"/>
      <c r="D14" s="79"/>
      <c r="E14" s="79"/>
      <c r="F14" s="79"/>
      <c r="G14" s="79"/>
      <c r="H14" s="79"/>
      <c r="I14" s="79"/>
      <c r="J14" s="80"/>
    </row>
    <row r="15" spans="1:10" x14ac:dyDescent="0.25">
      <c r="A15" s="78"/>
      <c r="B15" s="79"/>
      <c r="C15" s="79"/>
      <c r="D15" s="79"/>
      <c r="E15" s="79"/>
      <c r="F15" s="79"/>
      <c r="G15" s="79"/>
      <c r="H15" s="79"/>
      <c r="I15" s="79"/>
      <c r="J15" s="80"/>
    </row>
    <row r="16" spans="1:10" x14ac:dyDescent="0.25">
      <c r="A16" s="78"/>
      <c r="B16" s="79"/>
      <c r="C16" s="79"/>
      <c r="D16" s="79"/>
      <c r="E16" s="79"/>
      <c r="F16" s="79"/>
      <c r="G16" s="79"/>
      <c r="H16" s="79"/>
      <c r="I16" s="79"/>
      <c r="J16" s="80"/>
    </row>
    <row r="17" spans="1:10" ht="15.75" thickBot="1" x14ac:dyDescent="0.3">
      <c r="A17" s="81"/>
      <c r="B17" s="82"/>
      <c r="C17" s="82"/>
      <c r="D17" s="82"/>
      <c r="E17" s="82"/>
      <c r="F17" s="82"/>
      <c r="G17" s="82"/>
      <c r="H17" s="82"/>
      <c r="I17" s="82"/>
      <c r="J17" s="83"/>
    </row>
    <row r="18" spans="1:10" ht="14.45" customHeight="1" x14ac:dyDescent="0.25">
      <c r="A18" s="84" t="s">
        <v>53</v>
      </c>
      <c r="B18" s="85"/>
      <c r="C18" s="85"/>
      <c r="D18" s="85"/>
      <c r="E18" s="85"/>
      <c r="F18" s="85"/>
      <c r="G18" s="85"/>
      <c r="H18" s="85"/>
      <c r="I18" s="85"/>
      <c r="J18" s="86"/>
    </row>
    <row r="19" spans="1:10" x14ac:dyDescent="0.25">
      <c r="A19" s="87"/>
      <c r="B19" s="88"/>
      <c r="C19" s="88"/>
      <c r="D19" s="88"/>
      <c r="E19" s="88"/>
      <c r="F19" s="88"/>
      <c r="G19" s="88"/>
      <c r="H19" s="88"/>
      <c r="I19" s="88"/>
      <c r="J19" s="89"/>
    </row>
    <row r="20" spans="1:10" x14ac:dyDescent="0.25">
      <c r="A20" s="87"/>
      <c r="B20" s="88"/>
      <c r="C20" s="88"/>
      <c r="D20" s="88"/>
      <c r="E20" s="88"/>
      <c r="F20" s="88"/>
      <c r="G20" s="88"/>
      <c r="H20" s="88"/>
      <c r="I20" s="88"/>
      <c r="J20" s="89"/>
    </row>
    <row r="21" spans="1:10" x14ac:dyDescent="0.25">
      <c r="A21" s="87"/>
      <c r="B21" s="88"/>
      <c r="C21" s="88"/>
      <c r="D21" s="88"/>
      <c r="E21" s="88"/>
      <c r="F21" s="88"/>
      <c r="G21" s="88"/>
      <c r="H21" s="88"/>
      <c r="I21" s="88"/>
      <c r="J21" s="89"/>
    </row>
    <row r="22" spans="1:10" x14ac:dyDescent="0.25">
      <c r="A22" s="87"/>
      <c r="B22" s="88"/>
      <c r="C22" s="88"/>
      <c r="D22" s="88"/>
      <c r="E22" s="88"/>
      <c r="F22" s="88"/>
      <c r="G22" s="88"/>
      <c r="H22" s="88"/>
      <c r="I22" s="88"/>
      <c r="J22" s="89"/>
    </row>
    <row r="23" spans="1:10" x14ac:dyDescent="0.25">
      <c r="A23" s="87"/>
      <c r="B23" s="88"/>
      <c r="C23" s="88"/>
      <c r="D23" s="88"/>
      <c r="E23" s="88"/>
      <c r="F23" s="88"/>
      <c r="G23" s="88"/>
      <c r="H23" s="88"/>
      <c r="I23" s="88"/>
      <c r="J23" s="89"/>
    </row>
    <row r="24" spans="1:10" x14ac:dyDescent="0.25">
      <c r="A24" s="87"/>
      <c r="B24" s="88"/>
      <c r="C24" s="88"/>
      <c r="D24" s="88"/>
      <c r="E24" s="88"/>
      <c r="F24" s="88"/>
      <c r="G24" s="88"/>
      <c r="H24" s="88"/>
      <c r="I24" s="88"/>
      <c r="J24" s="89"/>
    </row>
    <row r="25" spans="1:10" x14ac:dyDescent="0.25">
      <c r="A25" s="87"/>
      <c r="B25" s="88"/>
      <c r="C25" s="88"/>
      <c r="D25" s="88"/>
      <c r="E25" s="88"/>
      <c r="F25" s="88"/>
      <c r="G25" s="88"/>
      <c r="H25" s="88"/>
      <c r="I25" s="88"/>
      <c r="J25" s="89"/>
    </row>
    <row r="26" spans="1:10" x14ac:dyDescent="0.25">
      <c r="A26" s="87"/>
      <c r="B26" s="88"/>
      <c r="C26" s="88"/>
      <c r="D26" s="88"/>
      <c r="E26" s="88"/>
      <c r="F26" s="88"/>
      <c r="G26" s="88"/>
      <c r="H26" s="88"/>
      <c r="I26" s="88"/>
      <c r="J26" s="89"/>
    </row>
    <row r="27" spans="1:10" x14ac:dyDescent="0.25">
      <c r="A27" s="87"/>
      <c r="B27" s="88"/>
      <c r="C27" s="88"/>
      <c r="D27" s="88"/>
      <c r="E27" s="88"/>
      <c r="F27" s="88"/>
      <c r="G27" s="88"/>
      <c r="H27" s="88"/>
      <c r="I27" s="88"/>
      <c r="J27" s="89"/>
    </row>
    <row r="28" spans="1:10" x14ac:dyDescent="0.25">
      <c r="A28" s="87"/>
      <c r="B28" s="88"/>
      <c r="C28" s="88"/>
      <c r="D28" s="88"/>
      <c r="E28" s="88"/>
      <c r="F28" s="88"/>
      <c r="G28" s="88"/>
      <c r="H28" s="88"/>
      <c r="I28" s="88"/>
      <c r="J28" s="89"/>
    </row>
    <row r="29" spans="1:10" x14ac:dyDescent="0.25">
      <c r="A29" s="87"/>
      <c r="B29" s="88"/>
      <c r="C29" s="88"/>
      <c r="D29" s="88"/>
      <c r="E29" s="88"/>
      <c r="F29" s="88"/>
      <c r="G29" s="88"/>
      <c r="H29" s="88"/>
      <c r="I29" s="88"/>
      <c r="J29" s="89"/>
    </row>
    <row r="30" spans="1:10" x14ac:dyDescent="0.25">
      <c r="A30" s="87"/>
      <c r="B30" s="88"/>
      <c r="C30" s="88"/>
      <c r="D30" s="88"/>
      <c r="E30" s="88"/>
      <c r="F30" s="88"/>
      <c r="G30" s="88"/>
      <c r="H30" s="88"/>
      <c r="I30" s="88"/>
      <c r="J30" s="89"/>
    </row>
    <row r="31" spans="1:10" x14ac:dyDescent="0.25">
      <c r="A31" s="87"/>
      <c r="B31" s="88"/>
      <c r="C31" s="88"/>
      <c r="D31" s="88"/>
      <c r="E31" s="88"/>
      <c r="F31" s="88"/>
      <c r="G31" s="88"/>
      <c r="H31" s="88"/>
      <c r="I31" s="88"/>
      <c r="J31" s="89"/>
    </row>
    <row r="32" spans="1:10" x14ac:dyDescent="0.25">
      <c r="A32" s="87"/>
      <c r="B32" s="88"/>
      <c r="C32" s="88"/>
      <c r="D32" s="88"/>
      <c r="E32" s="88"/>
      <c r="F32" s="88"/>
      <c r="G32" s="88"/>
      <c r="H32" s="88"/>
      <c r="I32" s="88"/>
      <c r="J32" s="89"/>
    </row>
    <row r="33" spans="1:10" ht="15.75" thickBot="1" x14ac:dyDescent="0.3">
      <c r="A33" s="90"/>
      <c r="B33" s="91"/>
      <c r="C33" s="91"/>
      <c r="D33" s="91"/>
      <c r="E33" s="91"/>
      <c r="F33" s="91"/>
      <c r="G33" s="91"/>
      <c r="H33" s="91"/>
      <c r="I33" s="91"/>
      <c r="J33" s="92"/>
    </row>
    <row r="34" spans="1:10" x14ac:dyDescent="0.25">
      <c r="A34" s="48"/>
      <c r="B34" s="48"/>
      <c r="C34" s="48"/>
      <c r="D34" s="48"/>
      <c r="E34" s="48"/>
      <c r="F34" s="48"/>
      <c r="G34" s="48"/>
      <c r="H34" s="48"/>
      <c r="I34" s="48"/>
      <c r="J34" s="48"/>
    </row>
    <row r="35" spans="1:10" x14ac:dyDescent="0.25">
      <c r="A35" s="93" t="s">
        <v>50</v>
      </c>
      <c r="B35" s="93"/>
      <c r="C35" s="93"/>
      <c r="D35" s="93"/>
      <c r="E35" s="93"/>
      <c r="F35" s="93"/>
      <c r="G35" s="93"/>
      <c r="H35" s="93"/>
      <c r="I35" s="93"/>
      <c r="J35" s="93"/>
    </row>
    <row r="36" spans="1:10" x14ac:dyDescent="0.25">
      <c r="A36" s="93"/>
      <c r="B36" s="93"/>
      <c r="C36" s="93"/>
      <c r="D36" s="93"/>
      <c r="E36" s="93"/>
      <c r="F36" s="93"/>
      <c r="G36" s="93"/>
      <c r="H36" s="93"/>
      <c r="I36" s="93"/>
      <c r="J36" s="93"/>
    </row>
    <row r="37" spans="1:10" ht="15.75" thickBot="1" x14ac:dyDescent="0.3"/>
    <row r="38" spans="1:10" x14ac:dyDescent="0.25">
      <c r="A38" s="55" t="s">
        <v>59</v>
      </c>
      <c r="B38" s="56"/>
      <c r="C38" s="56"/>
      <c r="D38" s="56"/>
      <c r="E38" s="56"/>
      <c r="F38" s="56"/>
      <c r="G38" s="56"/>
      <c r="H38" s="56"/>
      <c r="I38" s="56"/>
      <c r="J38" s="57"/>
    </row>
    <row r="39" spans="1:10" ht="15.75" thickBot="1" x14ac:dyDescent="0.3">
      <c r="A39" s="58"/>
      <c r="B39" s="59"/>
      <c r="C39" s="59"/>
      <c r="D39" s="59"/>
      <c r="E39" s="59"/>
      <c r="F39" s="59"/>
      <c r="G39" s="59"/>
      <c r="H39" s="59"/>
      <c r="I39" s="59"/>
      <c r="J39" s="60"/>
    </row>
  </sheetData>
  <mergeCells count="6">
    <mergeCell ref="A38:J39"/>
    <mergeCell ref="A1:J2"/>
    <mergeCell ref="A3:J5"/>
    <mergeCell ref="A6:J17"/>
    <mergeCell ref="A18:J33"/>
    <mergeCell ref="A35:J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V145"/>
  <sheetViews>
    <sheetView tabSelected="1" topLeftCell="A125" zoomScale="66" zoomScaleNormal="130" workbookViewId="0">
      <selection activeCell="A133" sqref="A133:M142"/>
    </sheetView>
  </sheetViews>
  <sheetFormatPr baseColWidth="10" defaultColWidth="11.42578125" defaultRowHeight="15" x14ac:dyDescent="0.25"/>
  <cols>
    <col min="1" max="1" width="16.140625" customWidth="1"/>
    <col min="2" max="2" width="24" bestFit="1" customWidth="1"/>
    <col min="3" max="3" width="11.28515625" bestFit="1" customWidth="1"/>
    <col min="4" max="6" width="12.28515625" customWidth="1"/>
    <col min="7" max="7" width="12.42578125" customWidth="1"/>
    <col min="17" max="17" width="11.42578125" customWidth="1"/>
    <col min="18" max="22" width="11.42578125" style="46"/>
  </cols>
  <sheetData>
    <row r="1" spans="1:19" x14ac:dyDescent="0.25">
      <c r="A1" s="105" t="s">
        <v>34</v>
      </c>
      <c r="B1" s="106"/>
      <c r="C1" s="106"/>
      <c r="D1" s="106"/>
      <c r="E1" s="106"/>
      <c r="F1" s="106"/>
      <c r="G1" s="106"/>
      <c r="H1" s="106"/>
      <c r="I1" s="106"/>
      <c r="J1" s="106"/>
      <c r="K1" s="106"/>
      <c r="L1" s="106"/>
      <c r="M1" s="106"/>
      <c r="N1" s="106"/>
      <c r="O1" s="106"/>
      <c r="P1" s="106"/>
      <c r="Q1" s="107"/>
    </row>
    <row r="2" spans="1:19" x14ac:dyDescent="0.25">
      <c r="A2" s="108"/>
      <c r="B2" s="109"/>
      <c r="C2" s="109"/>
      <c r="D2" s="109"/>
      <c r="E2" s="109"/>
      <c r="F2" s="109"/>
      <c r="G2" s="109"/>
      <c r="H2" s="109"/>
      <c r="I2" s="109"/>
      <c r="J2" s="109"/>
      <c r="K2" s="109"/>
      <c r="L2" s="109"/>
      <c r="M2" s="109"/>
      <c r="N2" s="109"/>
      <c r="O2" s="109"/>
      <c r="P2" s="109"/>
      <c r="Q2" s="110"/>
    </row>
    <row r="3" spans="1:19" x14ac:dyDescent="0.25">
      <c r="A3" s="16"/>
      <c r="Q3" s="17"/>
    </row>
    <row r="4" spans="1:19" x14ac:dyDescent="0.25">
      <c r="A4" s="111" t="s">
        <v>42</v>
      </c>
      <c r="B4" s="112"/>
      <c r="C4" s="112"/>
      <c r="D4" s="112"/>
      <c r="E4" s="112"/>
      <c r="F4" s="112"/>
      <c r="G4" s="112"/>
      <c r="H4" s="112"/>
      <c r="Q4" s="17"/>
    </row>
    <row r="5" spans="1:19" x14ac:dyDescent="0.25">
      <c r="A5" s="111"/>
      <c r="B5" s="112"/>
      <c r="C5" s="112"/>
      <c r="D5" s="112"/>
      <c r="E5" s="112"/>
      <c r="F5" s="112"/>
      <c r="G5" s="112"/>
      <c r="H5" s="112"/>
      <c r="Q5" s="17"/>
    </row>
    <row r="6" spans="1:19" ht="15.75" thickBot="1" x14ac:dyDescent="0.3">
      <c r="A6" s="16"/>
      <c r="Q6" s="17"/>
    </row>
    <row r="7" spans="1:19" ht="14.45" customHeight="1" thickBot="1" x14ac:dyDescent="0.3">
      <c r="A7" s="94" t="s">
        <v>43</v>
      </c>
      <c r="B7" s="103"/>
      <c r="C7" s="103"/>
      <c r="D7" s="103"/>
      <c r="E7" s="103"/>
      <c r="F7" s="103"/>
      <c r="G7" s="104"/>
      <c r="H7" s="1">
        <f>S7</f>
        <v>100</v>
      </c>
      <c r="I7" s="46">
        <v>40</v>
      </c>
      <c r="Q7" s="17"/>
      <c r="S7" s="50">
        <v>100</v>
      </c>
    </row>
    <row r="8" spans="1:19" ht="53.45" customHeight="1" thickBot="1" x14ac:dyDescent="0.3">
      <c r="A8" s="47" t="s">
        <v>0</v>
      </c>
      <c r="B8" s="100" t="s">
        <v>5</v>
      </c>
      <c r="C8" s="100"/>
      <c r="D8" s="100"/>
      <c r="E8" s="100"/>
      <c r="F8" s="100"/>
      <c r="G8" s="101"/>
      <c r="I8" s="46"/>
      <c r="J8" s="31"/>
      <c r="Q8" s="17"/>
    </row>
    <row r="9" spans="1:19" ht="15.75" thickBot="1" x14ac:dyDescent="0.3">
      <c r="A9" s="49"/>
      <c r="I9" s="46"/>
      <c r="Q9" s="17"/>
    </row>
    <row r="10" spans="1:19" ht="19.5" thickBot="1" x14ac:dyDescent="0.3">
      <c r="A10" s="94" t="s">
        <v>44</v>
      </c>
      <c r="B10" s="95"/>
      <c r="C10" s="95"/>
      <c r="D10" s="95"/>
      <c r="E10" s="95"/>
      <c r="F10" s="95"/>
      <c r="G10" s="96"/>
      <c r="H10" s="2">
        <f>S10</f>
        <v>90</v>
      </c>
      <c r="I10" s="46">
        <v>40</v>
      </c>
      <c r="Q10" s="17"/>
      <c r="S10" s="50">
        <v>90</v>
      </c>
    </row>
    <row r="11" spans="1:19" ht="46.35" customHeight="1" thickBot="1" x14ac:dyDescent="0.3">
      <c r="A11" s="47" t="s">
        <v>10</v>
      </c>
      <c r="B11" s="97" t="s">
        <v>6</v>
      </c>
      <c r="C11" s="97"/>
      <c r="D11" s="97"/>
      <c r="E11" s="97"/>
      <c r="F11" s="97"/>
      <c r="G11" s="102"/>
      <c r="I11" s="46"/>
      <c r="J11" s="31"/>
      <c r="Q11" s="17"/>
    </row>
    <row r="12" spans="1:19" ht="15.75" thickBot="1" x14ac:dyDescent="0.3">
      <c r="A12" s="49"/>
      <c r="I12" s="46"/>
      <c r="Q12" s="17"/>
    </row>
    <row r="13" spans="1:19" ht="19.5" thickBot="1" x14ac:dyDescent="0.3">
      <c r="A13" s="94" t="s">
        <v>45</v>
      </c>
      <c r="B13" s="95"/>
      <c r="C13" s="95"/>
      <c r="D13" s="95"/>
      <c r="E13" s="95"/>
      <c r="F13" s="95"/>
      <c r="G13" s="96"/>
      <c r="H13" s="2">
        <f>S13</f>
        <v>90</v>
      </c>
      <c r="I13" s="46">
        <v>40</v>
      </c>
      <c r="Q13" s="17"/>
      <c r="S13" s="50">
        <v>90</v>
      </c>
    </row>
    <row r="14" spans="1:19" ht="23.25" thickBot="1" x14ac:dyDescent="0.3">
      <c r="A14" s="47" t="s">
        <v>1</v>
      </c>
      <c r="B14" s="97" t="s">
        <v>7</v>
      </c>
      <c r="C14" s="98"/>
      <c r="D14" s="98"/>
      <c r="E14" s="98"/>
      <c r="F14" s="98"/>
      <c r="G14" s="99"/>
      <c r="I14" s="46"/>
      <c r="Q14" s="17"/>
    </row>
    <row r="15" spans="1:19" ht="15.75" thickBot="1" x14ac:dyDescent="0.3">
      <c r="A15" s="49"/>
      <c r="I15" s="46"/>
      <c r="Q15" s="17"/>
    </row>
    <row r="16" spans="1:19" ht="19.5" thickBot="1" x14ac:dyDescent="0.3">
      <c r="A16" s="94" t="s">
        <v>46</v>
      </c>
      <c r="B16" s="95"/>
      <c r="C16" s="95"/>
      <c r="D16" s="95"/>
      <c r="E16" s="95"/>
      <c r="F16" s="95"/>
      <c r="G16" s="96"/>
      <c r="H16" s="2">
        <f>S16</f>
        <v>90</v>
      </c>
      <c r="I16" s="46">
        <v>40</v>
      </c>
      <c r="Q16" s="17"/>
      <c r="S16" s="50">
        <v>90</v>
      </c>
    </row>
    <row r="17" spans="1:19" ht="60.6" customHeight="1" thickBot="1" x14ac:dyDescent="0.3">
      <c r="A17" s="47" t="s">
        <v>2</v>
      </c>
      <c r="B17" s="97" t="s">
        <v>8</v>
      </c>
      <c r="C17" s="98"/>
      <c r="D17" s="98"/>
      <c r="E17" s="98"/>
      <c r="F17" s="98"/>
      <c r="G17" s="99"/>
      <c r="I17" s="46"/>
      <c r="Q17" s="17"/>
    </row>
    <row r="18" spans="1:19" ht="15.75" thickBot="1" x14ac:dyDescent="0.3">
      <c r="A18" s="49"/>
      <c r="I18" s="46"/>
      <c r="Q18" s="17"/>
    </row>
    <row r="19" spans="1:19" ht="19.5" thickBot="1" x14ac:dyDescent="0.3">
      <c r="A19" s="94" t="s">
        <v>47</v>
      </c>
      <c r="B19" s="95"/>
      <c r="C19" s="95"/>
      <c r="D19" s="95"/>
      <c r="E19" s="95"/>
      <c r="F19" s="95"/>
      <c r="G19" s="96"/>
      <c r="H19" s="2">
        <f>S19</f>
        <v>90</v>
      </c>
      <c r="I19" s="46">
        <v>40</v>
      </c>
      <c r="Q19" s="17"/>
      <c r="S19" s="50">
        <v>90</v>
      </c>
    </row>
    <row r="20" spans="1:19" ht="41.45" customHeight="1" thickBot="1" x14ac:dyDescent="0.3">
      <c r="A20" s="47" t="s">
        <v>3</v>
      </c>
      <c r="B20" s="97" t="s">
        <v>9</v>
      </c>
      <c r="C20" s="98"/>
      <c r="D20" s="98"/>
      <c r="E20" s="98"/>
      <c r="F20" s="98"/>
      <c r="G20" s="99"/>
      <c r="I20" s="46"/>
      <c r="Q20" s="17"/>
    </row>
    <row r="21" spans="1:19" ht="15.75" thickBot="1" x14ac:dyDescent="0.3">
      <c r="A21" s="49"/>
      <c r="I21" s="46"/>
      <c r="Q21" s="17"/>
    </row>
    <row r="22" spans="1:19" ht="19.5" thickBot="1" x14ac:dyDescent="0.3">
      <c r="A22" s="94" t="s">
        <v>48</v>
      </c>
      <c r="B22" s="95"/>
      <c r="C22" s="95"/>
      <c r="D22" s="95"/>
      <c r="E22" s="95"/>
      <c r="F22" s="95"/>
      <c r="G22" s="96"/>
      <c r="H22" s="2">
        <f>S22</f>
        <v>80</v>
      </c>
      <c r="I22" s="46">
        <v>40</v>
      </c>
      <c r="Q22" s="17"/>
      <c r="S22" s="50">
        <v>80</v>
      </c>
    </row>
    <row r="23" spans="1:19" ht="56.1" customHeight="1" thickBot="1" x14ac:dyDescent="0.3">
      <c r="A23" s="47" t="s">
        <v>4</v>
      </c>
      <c r="B23" s="97" t="s">
        <v>11</v>
      </c>
      <c r="C23" s="98"/>
      <c r="D23" s="98"/>
      <c r="E23" s="98"/>
      <c r="F23" s="98"/>
      <c r="G23" s="99"/>
      <c r="Q23" s="17"/>
    </row>
    <row r="24" spans="1:19" x14ac:dyDescent="0.25">
      <c r="A24" s="16"/>
      <c r="Q24" s="17"/>
    </row>
    <row r="25" spans="1:19" ht="15.75" thickBot="1" x14ac:dyDescent="0.3">
      <c r="A25" s="16"/>
      <c r="Q25" s="17"/>
    </row>
    <row r="26" spans="1:19" x14ac:dyDescent="0.25">
      <c r="A26" s="113" t="s">
        <v>12</v>
      </c>
      <c r="B26" s="114"/>
      <c r="C26" s="114"/>
      <c r="D26" s="114"/>
      <c r="E26" s="114"/>
      <c r="F26" s="114"/>
      <c r="G26" s="114"/>
      <c r="H26" s="114"/>
      <c r="I26" s="114"/>
      <c r="J26" s="114"/>
      <c r="K26" s="114"/>
      <c r="L26" s="114"/>
      <c r="M26" s="115"/>
      <c r="Q26" s="17"/>
    </row>
    <row r="27" spans="1:19" ht="15.75" thickBot="1" x14ac:dyDescent="0.3">
      <c r="A27" s="116" t="s">
        <v>62</v>
      </c>
      <c r="B27" s="117"/>
      <c r="C27" s="117"/>
      <c r="D27" s="117"/>
      <c r="E27" s="117"/>
      <c r="F27" s="117"/>
      <c r="G27" s="117"/>
      <c r="H27" s="117"/>
      <c r="I27" s="117"/>
      <c r="J27" s="117"/>
      <c r="K27" s="117"/>
      <c r="L27" s="117"/>
      <c r="M27" s="118"/>
      <c r="Q27" s="17"/>
    </row>
    <row r="28" spans="1:19" x14ac:dyDescent="0.25">
      <c r="A28" s="116"/>
      <c r="B28" s="117"/>
      <c r="C28" s="117"/>
      <c r="D28" s="117"/>
      <c r="E28" s="117"/>
      <c r="F28" s="117"/>
      <c r="G28" s="117"/>
      <c r="H28" s="117"/>
      <c r="I28" s="117"/>
      <c r="J28" s="117"/>
      <c r="K28" s="117"/>
      <c r="L28" s="117"/>
      <c r="M28" s="118"/>
      <c r="O28" s="144" t="s">
        <v>13</v>
      </c>
      <c r="P28" s="145"/>
      <c r="Q28" s="17"/>
    </row>
    <row r="29" spans="1:19" ht="15.75" thickBot="1" x14ac:dyDescent="0.3">
      <c r="A29" s="116"/>
      <c r="B29" s="117"/>
      <c r="C29" s="117"/>
      <c r="D29" s="117"/>
      <c r="E29" s="117"/>
      <c r="F29" s="117"/>
      <c r="G29" s="117"/>
      <c r="H29" s="117"/>
      <c r="I29" s="117"/>
      <c r="J29" s="117"/>
      <c r="K29" s="117"/>
      <c r="L29" s="117"/>
      <c r="M29" s="118"/>
      <c r="O29" s="146"/>
      <c r="P29" s="147"/>
      <c r="Q29" s="17"/>
    </row>
    <row r="30" spans="1:19" x14ac:dyDescent="0.25">
      <c r="A30" s="116"/>
      <c r="B30" s="117"/>
      <c r="C30" s="117"/>
      <c r="D30" s="117"/>
      <c r="E30" s="117"/>
      <c r="F30" s="117"/>
      <c r="G30" s="117"/>
      <c r="H30" s="117"/>
      <c r="I30" s="117"/>
      <c r="J30" s="117"/>
      <c r="K30" s="117"/>
      <c r="L30" s="117"/>
      <c r="M30" s="118"/>
      <c r="O30" s="122">
        <f>AVERAGE(H22,H19,H16,H13,H10,H7)</f>
        <v>90</v>
      </c>
      <c r="P30" s="123"/>
      <c r="Q30" s="17"/>
    </row>
    <row r="31" spans="1:19" ht="15" customHeight="1" x14ac:dyDescent="0.25">
      <c r="A31" s="116"/>
      <c r="B31" s="117"/>
      <c r="C31" s="117"/>
      <c r="D31" s="117"/>
      <c r="E31" s="117"/>
      <c r="F31" s="117"/>
      <c r="G31" s="117"/>
      <c r="H31" s="117"/>
      <c r="I31" s="117"/>
      <c r="J31" s="117"/>
      <c r="K31" s="117"/>
      <c r="L31" s="117"/>
      <c r="M31" s="118"/>
      <c r="O31" s="124"/>
      <c r="P31" s="125"/>
      <c r="Q31" s="17"/>
    </row>
    <row r="32" spans="1:19" ht="15" customHeight="1" x14ac:dyDescent="0.25">
      <c r="A32" s="116"/>
      <c r="B32" s="117"/>
      <c r="C32" s="117"/>
      <c r="D32" s="117"/>
      <c r="E32" s="117"/>
      <c r="F32" s="117"/>
      <c r="G32" s="117"/>
      <c r="H32" s="117"/>
      <c r="I32" s="117"/>
      <c r="J32" s="117"/>
      <c r="K32" s="117"/>
      <c r="L32" s="117"/>
      <c r="M32" s="118"/>
      <c r="O32" s="124"/>
      <c r="P32" s="125"/>
      <c r="Q32" s="17"/>
    </row>
    <row r="33" spans="1:18" ht="15" customHeight="1" x14ac:dyDescent="0.25">
      <c r="A33" s="116"/>
      <c r="B33" s="117"/>
      <c r="C33" s="117"/>
      <c r="D33" s="117"/>
      <c r="E33" s="117"/>
      <c r="F33" s="117"/>
      <c r="G33" s="117"/>
      <c r="H33" s="117"/>
      <c r="I33" s="117"/>
      <c r="J33" s="117"/>
      <c r="K33" s="117"/>
      <c r="L33" s="117"/>
      <c r="M33" s="118"/>
      <c r="O33" s="126" t="s">
        <v>41</v>
      </c>
      <c r="P33" s="126"/>
      <c r="Q33" s="17"/>
    </row>
    <row r="34" spans="1:18" ht="15" customHeight="1" x14ac:dyDescent="0.25">
      <c r="A34" s="116"/>
      <c r="B34" s="117"/>
      <c r="C34" s="117"/>
      <c r="D34" s="117"/>
      <c r="E34" s="117"/>
      <c r="F34" s="117"/>
      <c r="G34" s="117"/>
      <c r="H34" s="117"/>
      <c r="I34" s="117"/>
      <c r="J34" s="117"/>
      <c r="K34" s="117"/>
      <c r="L34" s="117"/>
      <c r="M34" s="118"/>
      <c r="O34" s="127">
        <f>20*O30/100</f>
        <v>18</v>
      </c>
      <c r="P34" s="127"/>
      <c r="Q34" s="17"/>
    </row>
    <row r="35" spans="1:18" ht="15" customHeight="1" x14ac:dyDescent="0.25">
      <c r="A35" s="116"/>
      <c r="B35" s="117"/>
      <c r="C35" s="117"/>
      <c r="D35" s="117"/>
      <c r="E35" s="117"/>
      <c r="F35" s="117"/>
      <c r="G35" s="117"/>
      <c r="H35" s="117"/>
      <c r="I35" s="117"/>
      <c r="J35" s="117"/>
      <c r="K35" s="117"/>
      <c r="L35" s="117"/>
      <c r="M35" s="118"/>
      <c r="O35" s="127"/>
      <c r="P35" s="127"/>
      <c r="Q35" s="17"/>
    </row>
    <row r="36" spans="1:18" ht="15" customHeight="1" x14ac:dyDescent="0.25">
      <c r="A36" s="116"/>
      <c r="B36" s="117"/>
      <c r="C36" s="117"/>
      <c r="D36" s="117"/>
      <c r="E36" s="117"/>
      <c r="F36" s="117"/>
      <c r="G36" s="117"/>
      <c r="H36" s="117"/>
      <c r="I36" s="117"/>
      <c r="J36" s="117"/>
      <c r="K36" s="117"/>
      <c r="L36" s="117"/>
      <c r="M36" s="118"/>
      <c r="Q36" s="17"/>
    </row>
    <row r="37" spans="1:18" ht="14.45" customHeight="1" x14ac:dyDescent="0.25">
      <c r="A37" s="116"/>
      <c r="B37" s="117"/>
      <c r="C37" s="117"/>
      <c r="D37" s="117"/>
      <c r="E37" s="117"/>
      <c r="F37" s="117"/>
      <c r="G37" s="117"/>
      <c r="H37" s="117"/>
      <c r="I37" s="117"/>
      <c r="J37" s="117"/>
      <c r="K37" s="117"/>
      <c r="L37" s="117"/>
      <c r="M37" s="118"/>
      <c r="O37" s="128" t="s">
        <v>54</v>
      </c>
      <c r="P37" s="129"/>
      <c r="Q37" s="17"/>
    </row>
    <row r="38" spans="1:18" ht="14.45" customHeight="1" x14ac:dyDescent="0.25">
      <c r="A38" s="116"/>
      <c r="B38" s="117"/>
      <c r="C38" s="117"/>
      <c r="D38" s="117"/>
      <c r="E38" s="117"/>
      <c r="F38" s="117"/>
      <c r="G38" s="117"/>
      <c r="H38" s="117"/>
      <c r="I38" s="117"/>
      <c r="J38" s="117"/>
      <c r="K38" s="117"/>
      <c r="L38" s="117"/>
      <c r="M38" s="118"/>
      <c r="O38" s="130"/>
      <c r="P38" s="131"/>
      <c r="Q38" s="17"/>
    </row>
    <row r="39" spans="1:18" ht="14.45" customHeight="1" x14ac:dyDescent="0.25">
      <c r="A39" s="116"/>
      <c r="B39" s="117"/>
      <c r="C39" s="117"/>
      <c r="D39" s="117"/>
      <c r="E39" s="117"/>
      <c r="F39" s="117"/>
      <c r="G39" s="117"/>
      <c r="H39" s="117"/>
      <c r="I39" s="117"/>
      <c r="J39" s="117"/>
      <c r="K39" s="117"/>
      <c r="L39" s="117"/>
      <c r="M39" s="118"/>
      <c r="O39" s="132">
        <v>18.5</v>
      </c>
      <c r="P39" s="133"/>
      <c r="Q39" s="17"/>
    </row>
    <row r="40" spans="1:18" ht="14.45" customHeight="1" x14ac:dyDescent="0.25">
      <c r="A40" s="116"/>
      <c r="B40" s="117"/>
      <c r="C40" s="117"/>
      <c r="D40" s="117"/>
      <c r="E40" s="117"/>
      <c r="F40" s="117"/>
      <c r="G40" s="117"/>
      <c r="H40" s="117"/>
      <c r="I40" s="117"/>
      <c r="J40" s="117"/>
      <c r="K40" s="117"/>
      <c r="L40" s="117"/>
      <c r="M40" s="118"/>
      <c r="O40" s="134"/>
      <c r="P40" s="135"/>
      <c r="Q40" s="17"/>
    </row>
    <row r="41" spans="1:18" ht="14.45" customHeight="1" thickBot="1" x14ac:dyDescent="0.3">
      <c r="A41" s="119"/>
      <c r="B41" s="120"/>
      <c r="C41" s="120"/>
      <c r="D41" s="120"/>
      <c r="E41" s="120"/>
      <c r="F41" s="120"/>
      <c r="G41" s="120"/>
      <c r="H41" s="120"/>
      <c r="I41" s="120"/>
      <c r="J41" s="120"/>
      <c r="K41" s="120"/>
      <c r="L41" s="120"/>
      <c r="M41" s="121"/>
      <c r="O41" s="136"/>
      <c r="P41" s="137"/>
      <c r="Q41" s="17"/>
    </row>
    <row r="42" spans="1:18" ht="14.45" customHeight="1" thickBot="1" x14ac:dyDescent="0.3">
      <c r="A42" s="30"/>
      <c r="B42" s="18"/>
      <c r="C42" s="18"/>
      <c r="D42" s="18"/>
      <c r="E42" s="18"/>
      <c r="F42" s="18"/>
      <c r="G42" s="18"/>
      <c r="H42" s="18"/>
      <c r="I42" s="18"/>
      <c r="J42" s="18"/>
      <c r="K42" s="18"/>
      <c r="L42" s="18"/>
      <c r="M42" s="18"/>
      <c r="N42" s="18"/>
      <c r="O42" s="53"/>
      <c r="P42" s="53"/>
      <c r="Q42" s="19"/>
    </row>
    <row r="43" spans="1:18" ht="14.45" customHeight="1" x14ac:dyDescent="0.25">
      <c r="A43" s="105" t="s">
        <v>35</v>
      </c>
      <c r="B43" s="106"/>
      <c r="C43" s="106"/>
      <c r="D43" s="106"/>
      <c r="E43" s="106"/>
      <c r="F43" s="106"/>
      <c r="G43" s="106"/>
      <c r="H43" s="106"/>
      <c r="I43" s="106"/>
      <c r="J43" s="106"/>
      <c r="K43" s="106"/>
      <c r="L43" s="106"/>
      <c r="M43" s="106"/>
      <c r="N43" s="106"/>
      <c r="O43" s="106"/>
      <c r="P43" s="106"/>
      <c r="Q43" s="107"/>
      <c r="R43" s="51"/>
    </row>
    <row r="44" spans="1:18" ht="15" customHeight="1" x14ac:dyDescent="0.25">
      <c r="A44" s="108"/>
      <c r="B44" s="109"/>
      <c r="C44" s="109"/>
      <c r="D44" s="109"/>
      <c r="E44" s="109"/>
      <c r="F44" s="109"/>
      <c r="G44" s="109"/>
      <c r="H44" s="109"/>
      <c r="I44" s="109"/>
      <c r="J44" s="109"/>
      <c r="K44" s="109"/>
      <c r="L44" s="109"/>
      <c r="M44" s="109"/>
      <c r="N44" s="109"/>
      <c r="O44" s="109"/>
      <c r="P44" s="109"/>
      <c r="Q44" s="110"/>
      <c r="R44" s="51"/>
    </row>
    <row r="45" spans="1:18" x14ac:dyDescent="0.25">
      <c r="A45" s="16"/>
      <c r="Q45" s="17"/>
    </row>
    <row r="46" spans="1:18" ht="14.45" customHeight="1" x14ac:dyDescent="0.25">
      <c r="A46" s="16"/>
      <c r="B46" s="150" t="s">
        <v>52</v>
      </c>
      <c r="C46" s="150"/>
      <c r="D46" s="150"/>
      <c r="E46" s="150"/>
      <c r="F46" s="150"/>
      <c r="G46" s="150"/>
      <c r="H46" s="150"/>
      <c r="I46" s="150"/>
      <c r="J46" s="150"/>
      <c r="K46" s="150"/>
      <c r="L46" s="150"/>
      <c r="M46" s="150"/>
      <c r="N46" s="150"/>
      <c r="O46" s="150"/>
      <c r="P46" s="150"/>
      <c r="Q46" s="17"/>
    </row>
    <row r="47" spans="1:18" ht="15.75" thickBot="1" x14ac:dyDescent="0.3">
      <c r="A47" s="16"/>
      <c r="Q47" s="17"/>
    </row>
    <row r="48" spans="1:18" ht="15.75" thickBot="1" x14ac:dyDescent="0.3">
      <c r="A48" s="16"/>
      <c r="B48" s="13" t="s">
        <v>14</v>
      </c>
      <c r="C48" s="138" t="s">
        <v>15</v>
      </c>
      <c r="D48" s="139"/>
      <c r="E48" s="139"/>
      <c r="F48" s="139"/>
      <c r="G48" s="139"/>
      <c r="H48" s="139"/>
      <c r="I48" s="139"/>
      <c r="J48" s="139"/>
      <c r="K48" s="139"/>
      <c r="L48" s="139"/>
      <c r="M48" s="139"/>
      <c r="N48" s="139"/>
      <c r="O48" s="139"/>
      <c r="P48" s="140"/>
      <c r="Q48" s="32"/>
    </row>
    <row r="49" spans="1:19" ht="15.75" thickBot="1" x14ac:dyDescent="0.3">
      <c r="A49" s="148" t="s">
        <v>16</v>
      </c>
      <c r="B49" s="14">
        <v>1</v>
      </c>
      <c r="C49" s="141" t="s">
        <v>63</v>
      </c>
      <c r="D49" s="142"/>
      <c r="E49" s="142"/>
      <c r="F49" s="142"/>
      <c r="G49" s="142"/>
      <c r="H49" s="142"/>
      <c r="I49" s="142"/>
      <c r="J49" s="142"/>
      <c r="K49" s="142"/>
      <c r="L49" s="142"/>
      <c r="M49" s="142"/>
      <c r="N49" s="142"/>
      <c r="O49" s="142"/>
      <c r="P49" s="143"/>
      <c r="Q49" s="17"/>
    </row>
    <row r="50" spans="1:19" ht="15.75" thickBot="1" x14ac:dyDescent="0.3">
      <c r="A50" s="149"/>
      <c r="B50" s="14">
        <v>2</v>
      </c>
      <c r="C50" s="141" t="s">
        <v>64</v>
      </c>
      <c r="D50" s="142"/>
      <c r="E50" s="142"/>
      <c r="F50" s="142"/>
      <c r="G50" s="142"/>
      <c r="H50" s="142"/>
      <c r="I50" s="142"/>
      <c r="J50" s="142"/>
      <c r="K50" s="142"/>
      <c r="L50" s="142"/>
      <c r="M50" s="142"/>
      <c r="N50" s="142"/>
      <c r="O50" s="142"/>
      <c r="P50" s="143"/>
      <c r="Q50" s="17"/>
    </row>
    <row r="51" spans="1:19" ht="15.75" thickBot="1" x14ac:dyDescent="0.3">
      <c r="A51" s="149"/>
      <c r="B51" s="14">
        <v>3</v>
      </c>
      <c r="C51" s="141" t="s">
        <v>67</v>
      </c>
      <c r="D51" s="142"/>
      <c r="E51" s="142"/>
      <c r="F51" s="142"/>
      <c r="G51" s="142"/>
      <c r="H51" s="142"/>
      <c r="I51" s="142"/>
      <c r="J51" s="142"/>
      <c r="K51" s="142"/>
      <c r="L51" s="142"/>
      <c r="M51" s="142"/>
      <c r="N51" s="142"/>
      <c r="O51" s="142"/>
      <c r="P51" s="143"/>
      <c r="Q51" s="17"/>
    </row>
    <row r="52" spans="1:19" ht="15.75" thickBot="1" x14ac:dyDescent="0.3">
      <c r="A52" s="149"/>
      <c r="B52" s="14">
        <v>4</v>
      </c>
      <c r="C52" s="141" t="s">
        <v>70</v>
      </c>
      <c r="D52" s="142"/>
      <c r="E52" s="142"/>
      <c r="F52" s="142"/>
      <c r="G52" s="142"/>
      <c r="H52" s="142"/>
      <c r="I52" s="142"/>
      <c r="J52" s="142"/>
      <c r="K52" s="142"/>
      <c r="L52" s="142"/>
      <c r="M52" s="142"/>
      <c r="N52" s="142"/>
      <c r="O52" s="142"/>
      <c r="P52" s="143"/>
      <c r="Q52" s="17"/>
    </row>
    <row r="53" spans="1:19" ht="15.75" thickBot="1" x14ac:dyDescent="0.3">
      <c r="A53" s="146"/>
      <c r="B53" s="15">
        <v>5</v>
      </c>
      <c r="C53" s="141" t="s">
        <v>27</v>
      </c>
      <c r="D53" s="142"/>
      <c r="E53" s="142"/>
      <c r="F53" s="142"/>
      <c r="G53" s="142"/>
      <c r="H53" s="142"/>
      <c r="I53" s="142"/>
      <c r="J53" s="142"/>
      <c r="K53" s="142"/>
      <c r="L53" s="142"/>
      <c r="M53" s="142"/>
      <c r="N53" s="142"/>
      <c r="O53" s="142"/>
      <c r="P53" s="143"/>
      <c r="Q53" s="17"/>
    </row>
    <row r="54" spans="1:19" ht="15.75" thickBot="1" x14ac:dyDescent="0.3">
      <c r="A54" s="16"/>
      <c r="Q54" s="17"/>
    </row>
    <row r="55" spans="1:19" ht="15.75" thickBot="1" x14ac:dyDescent="0.3">
      <c r="A55" s="16"/>
      <c r="B55" s="26" t="s">
        <v>36</v>
      </c>
      <c r="C55" s="138" t="str">
        <f>C49</f>
        <v>Gestion de projet de déploiement de capteurs (définir le besoin en objectifs, réunion de lancement et cadrage de la mission, réalisation, contrôle qualité et livraison)</v>
      </c>
      <c r="D55" s="139"/>
      <c r="E55" s="139"/>
      <c r="F55" s="139"/>
      <c r="G55" s="139"/>
      <c r="H55" s="139"/>
      <c r="I55" s="139"/>
      <c r="J55" s="139"/>
      <c r="K55" s="139"/>
      <c r="L55" s="139"/>
      <c r="M55" s="139"/>
      <c r="N55" s="139"/>
      <c r="O55" s="139"/>
      <c r="P55" s="140"/>
      <c r="Q55" s="17"/>
    </row>
    <row r="56" spans="1:19" ht="15.75" thickBot="1" x14ac:dyDescent="0.3">
      <c r="A56" s="16"/>
      <c r="B56" s="16"/>
      <c r="P56" s="17"/>
      <c r="Q56" s="17"/>
    </row>
    <row r="57" spans="1:19" ht="14.45" customHeight="1" thickBot="1" x14ac:dyDescent="0.3">
      <c r="A57" s="16"/>
      <c r="B57" s="12" t="s">
        <v>25</v>
      </c>
      <c r="C57" s="163" t="s">
        <v>55</v>
      </c>
      <c r="D57" s="164"/>
      <c r="E57" s="164"/>
      <c r="F57" s="164"/>
      <c r="G57" s="165"/>
      <c r="I57" s="138" t="s">
        <v>60</v>
      </c>
      <c r="J57" s="139"/>
      <c r="K57" s="139"/>
      <c r="L57" s="139"/>
      <c r="M57" s="139"/>
      <c r="N57" s="140"/>
      <c r="P57" s="17"/>
      <c r="Q57" s="17"/>
    </row>
    <row r="58" spans="1:19" ht="15.75" thickBot="1" x14ac:dyDescent="0.3">
      <c r="A58" s="16"/>
      <c r="B58" s="20" t="s">
        <v>20</v>
      </c>
      <c r="C58" s="34"/>
      <c r="D58" s="35"/>
      <c r="E58" s="35" t="s">
        <v>65</v>
      </c>
      <c r="F58" s="36"/>
      <c r="G58" s="37"/>
      <c r="I58" s="6" t="s">
        <v>28</v>
      </c>
      <c r="J58" s="7">
        <v>0.4</v>
      </c>
      <c r="K58" s="8">
        <v>0.6</v>
      </c>
      <c r="L58" s="9">
        <v>0.8</v>
      </c>
      <c r="M58" s="10">
        <v>1</v>
      </c>
      <c r="N58" s="11">
        <v>1.2</v>
      </c>
      <c r="P58" s="17"/>
      <c r="Q58" s="17"/>
      <c r="R58" s="50">
        <v>100</v>
      </c>
      <c r="S58" s="46">
        <f>IF(C55="/","/",R58*R59)</f>
        <v>100</v>
      </c>
    </row>
    <row r="59" spans="1:19" x14ac:dyDescent="0.25">
      <c r="A59" s="16"/>
      <c r="B59" s="21" t="s">
        <v>17</v>
      </c>
      <c r="C59" s="38"/>
      <c r="D59" s="39"/>
      <c r="E59" s="39"/>
      <c r="F59" s="40" t="s">
        <v>65</v>
      </c>
      <c r="G59" s="41"/>
      <c r="P59" s="17"/>
      <c r="Q59" s="17"/>
      <c r="R59" s="46">
        <f>IF(C60="X",0.7,IF(C59="X",0.8,IF(C58="X",0.9,IF(D60="X",0.8,IF(D59="X",0.9,IF(D58="X",0.9,IF(E60="X",0.9,IF(E59="X",1,IF(E58="X",1,IF(F60="X",1,IF(F59="X",1.1,IF(F58="X",1.1,IF(G60="X",1.1,IF(G59="X",1.2,IF(G58="X",1.25)))))))))))))))</f>
        <v>1</v>
      </c>
      <c r="S59" s="46">
        <f>IF(C55="/","/",1)</f>
        <v>1</v>
      </c>
    </row>
    <row r="60" spans="1:19" ht="15.75" thickBot="1" x14ac:dyDescent="0.3">
      <c r="A60" s="16"/>
      <c r="B60" s="22" t="s">
        <v>24</v>
      </c>
      <c r="C60" s="42"/>
      <c r="D60" s="43"/>
      <c r="E60" s="43"/>
      <c r="F60" s="44" t="s">
        <v>65</v>
      </c>
      <c r="G60" s="45"/>
      <c r="P60" s="17"/>
      <c r="Q60" s="17"/>
    </row>
    <row r="61" spans="1:19" ht="15.75" thickBot="1" x14ac:dyDescent="0.3">
      <c r="A61" s="16"/>
      <c r="B61" s="16"/>
      <c r="C61" s="23" t="s">
        <v>21</v>
      </c>
      <c r="D61" s="24" t="s">
        <v>22</v>
      </c>
      <c r="E61" s="24" t="s">
        <v>23</v>
      </c>
      <c r="F61" s="24" t="s">
        <v>18</v>
      </c>
      <c r="G61" s="25" t="s">
        <v>19</v>
      </c>
      <c r="P61" s="17"/>
      <c r="Q61" s="17"/>
    </row>
    <row r="62" spans="1:19" ht="15.75" thickBot="1" x14ac:dyDescent="0.3">
      <c r="A62" s="16"/>
      <c r="B62" s="16"/>
      <c r="C62" s="173" t="s">
        <v>26</v>
      </c>
      <c r="D62" s="174"/>
      <c r="E62" s="174"/>
      <c r="F62" s="174"/>
      <c r="G62" s="175"/>
      <c r="P62" s="17"/>
      <c r="Q62" s="17"/>
    </row>
    <row r="63" spans="1:19" ht="15.75" thickBot="1" x14ac:dyDescent="0.3">
      <c r="A63" s="16"/>
      <c r="B63" s="16"/>
      <c r="P63" s="17"/>
      <c r="Q63" s="17"/>
    </row>
    <row r="64" spans="1:19" ht="15.75" thickBot="1" x14ac:dyDescent="0.3">
      <c r="A64" s="16"/>
      <c r="B64" s="151" t="s">
        <v>32</v>
      </c>
      <c r="C64" s="152"/>
      <c r="D64" s="152"/>
      <c r="E64" s="152"/>
      <c r="F64" s="152"/>
      <c r="G64" s="152"/>
      <c r="H64" s="152"/>
      <c r="I64" s="152"/>
      <c r="J64" s="152"/>
      <c r="K64" s="152"/>
      <c r="L64" s="152"/>
      <c r="M64" s="152"/>
      <c r="N64" s="152"/>
      <c r="O64" s="152"/>
      <c r="P64" s="153"/>
      <c r="Q64" s="17"/>
    </row>
    <row r="65" spans="1:19" x14ac:dyDescent="0.25">
      <c r="A65" s="16"/>
      <c r="B65" s="154" t="s">
        <v>68</v>
      </c>
      <c r="C65" s="155"/>
      <c r="D65" s="155"/>
      <c r="E65" s="155"/>
      <c r="F65" s="155"/>
      <c r="G65" s="155"/>
      <c r="H65" s="155"/>
      <c r="I65" s="155"/>
      <c r="J65" s="155"/>
      <c r="K65" s="155"/>
      <c r="L65" s="155"/>
      <c r="M65" s="155"/>
      <c r="N65" s="155"/>
      <c r="O65" s="155"/>
      <c r="P65" s="156"/>
      <c r="Q65" s="17"/>
    </row>
    <row r="66" spans="1:19" x14ac:dyDescent="0.25">
      <c r="A66" s="16"/>
      <c r="B66" s="157"/>
      <c r="C66" s="158"/>
      <c r="D66" s="158"/>
      <c r="E66" s="158"/>
      <c r="F66" s="158"/>
      <c r="G66" s="158"/>
      <c r="H66" s="158"/>
      <c r="I66" s="158"/>
      <c r="J66" s="158"/>
      <c r="K66" s="158"/>
      <c r="L66" s="158"/>
      <c r="M66" s="158"/>
      <c r="N66" s="158"/>
      <c r="O66" s="158"/>
      <c r="P66" s="159"/>
      <c r="Q66" s="17"/>
    </row>
    <row r="67" spans="1:19" x14ac:dyDescent="0.25">
      <c r="A67" s="16"/>
      <c r="B67" s="157"/>
      <c r="C67" s="158"/>
      <c r="D67" s="158"/>
      <c r="E67" s="158"/>
      <c r="F67" s="158"/>
      <c r="G67" s="158"/>
      <c r="H67" s="158"/>
      <c r="I67" s="158"/>
      <c r="J67" s="158"/>
      <c r="K67" s="158"/>
      <c r="L67" s="158"/>
      <c r="M67" s="158"/>
      <c r="N67" s="158"/>
      <c r="O67" s="158"/>
      <c r="P67" s="159"/>
      <c r="Q67" s="17"/>
    </row>
    <row r="68" spans="1:19" ht="15.75" thickBot="1" x14ac:dyDescent="0.3">
      <c r="A68" s="16"/>
      <c r="B68" s="160"/>
      <c r="C68" s="161"/>
      <c r="D68" s="161"/>
      <c r="E68" s="161"/>
      <c r="F68" s="161"/>
      <c r="G68" s="161"/>
      <c r="H68" s="161"/>
      <c r="I68" s="161"/>
      <c r="J68" s="161"/>
      <c r="K68" s="161"/>
      <c r="L68" s="161"/>
      <c r="M68" s="161"/>
      <c r="N68" s="161"/>
      <c r="O68" s="161"/>
      <c r="P68" s="162"/>
      <c r="Q68" s="17"/>
    </row>
    <row r="69" spans="1:19" ht="15.75" thickBot="1" x14ac:dyDescent="0.3">
      <c r="A69" s="16"/>
      <c r="Q69" s="17"/>
    </row>
    <row r="70" spans="1:19" ht="15.75" thickBot="1" x14ac:dyDescent="0.3">
      <c r="A70" s="16"/>
      <c r="B70" s="26" t="s">
        <v>37</v>
      </c>
      <c r="C70" s="138" t="str">
        <f>C50</f>
        <v xml:space="preserve">Monitorer le parc de capteur et piloter la maintenance auprès des clients et partenaires </v>
      </c>
      <c r="D70" s="139"/>
      <c r="E70" s="139"/>
      <c r="F70" s="139"/>
      <c r="G70" s="139"/>
      <c r="H70" s="139"/>
      <c r="I70" s="139"/>
      <c r="J70" s="139"/>
      <c r="K70" s="139"/>
      <c r="L70" s="139"/>
      <c r="M70" s="139"/>
      <c r="N70" s="139"/>
      <c r="O70" s="139"/>
      <c r="P70" s="140"/>
      <c r="Q70" s="17"/>
    </row>
    <row r="71" spans="1:19" ht="15.75" thickBot="1" x14ac:dyDescent="0.3">
      <c r="A71" s="16"/>
      <c r="B71" s="27"/>
      <c r="C71" s="28"/>
      <c r="D71" s="28"/>
      <c r="E71" s="28"/>
      <c r="F71" s="28"/>
      <c r="G71" s="28"/>
      <c r="H71" s="28"/>
      <c r="I71" s="28"/>
      <c r="J71" s="28"/>
      <c r="K71" s="28"/>
      <c r="L71" s="28"/>
      <c r="M71" s="28"/>
      <c r="N71" s="28"/>
      <c r="O71" s="28"/>
      <c r="P71" s="29"/>
      <c r="Q71" s="17"/>
    </row>
    <row r="72" spans="1:19" ht="15.75" thickBot="1" x14ac:dyDescent="0.3">
      <c r="A72" s="16"/>
      <c r="B72" s="12" t="s">
        <v>25</v>
      </c>
      <c r="C72" s="163" t="s">
        <v>56</v>
      </c>
      <c r="D72" s="164"/>
      <c r="E72" s="164"/>
      <c r="F72" s="164"/>
      <c r="G72" s="165"/>
      <c r="I72" s="138" t="s">
        <v>60</v>
      </c>
      <c r="J72" s="139"/>
      <c r="K72" s="139"/>
      <c r="L72" s="139"/>
      <c r="M72" s="139"/>
      <c r="N72" s="140"/>
      <c r="P72" s="17"/>
      <c r="Q72" s="17"/>
    </row>
    <row r="73" spans="1:19" ht="15.75" thickBot="1" x14ac:dyDescent="0.3">
      <c r="A73" s="16"/>
      <c r="B73" s="5" t="s">
        <v>20</v>
      </c>
      <c r="C73" s="34"/>
      <c r="D73" s="35"/>
      <c r="E73" s="35" t="s">
        <v>65</v>
      </c>
      <c r="F73" s="36"/>
      <c r="G73" s="37"/>
      <c r="I73" s="6" t="s">
        <v>28</v>
      </c>
      <c r="J73" s="7">
        <v>0.4</v>
      </c>
      <c r="K73" s="8">
        <v>0.6</v>
      </c>
      <c r="L73" s="9">
        <v>0.8</v>
      </c>
      <c r="M73" s="10">
        <v>1</v>
      </c>
      <c r="N73" s="11">
        <v>1.2</v>
      </c>
      <c r="P73" s="17"/>
      <c r="Q73" s="17"/>
      <c r="R73" s="50">
        <v>100</v>
      </c>
      <c r="S73" s="46">
        <f>IF(C70="/","/",R73*R74)</f>
        <v>100</v>
      </c>
    </row>
    <row r="74" spans="1:19" x14ac:dyDescent="0.25">
      <c r="A74" s="16"/>
      <c r="B74" s="3" t="s">
        <v>17</v>
      </c>
      <c r="C74" s="38"/>
      <c r="D74" s="39"/>
      <c r="E74" s="39"/>
      <c r="F74" s="40" t="s">
        <v>65</v>
      </c>
      <c r="G74" s="41"/>
      <c r="P74" s="17"/>
      <c r="Q74" s="17"/>
      <c r="R74" s="46">
        <f>IF(C75="X",0.7,IF(C74="X",0.8,IF(C73="X",0.9,IF(D75="X",0.8,IF(D74="X",0.9,IF(D73="X",0.9,IF(E75="X",0.9,IF(E74="X",1,IF(E73="X",1,IF(F75="X",1,IF(F74="X",1.1,IF(F73="X",1.1,IF(G75="X",1.1,IF(G74="X",1.2,IF(G73="X",1.25)))))))))))))))</f>
        <v>1</v>
      </c>
      <c r="S74" s="46">
        <f>IF(C70="/","/",1)</f>
        <v>1</v>
      </c>
    </row>
    <row r="75" spans="1:19" ht="15.75" thickBot="1" x14ac:dyDescent="0.3">
      <c r="A75" s="16"/>
      <c r="B75" s="4" t="s">
        <v>24</v>
      </c>
      <c r="C75" s="42"/>
      <c r="D75" s="43"/>
      <c r="E75" s="43"/>
      <c r="F75" s="44" t="s">
        <v>65</v>
      </c>
      <c r="G75" s="45"/>
      <c r="P75" s="17"/>
      <c r="Q75" s="17"/>
    </row>
    <row r="76" spans="1:19" ht="15.75" thickBot="1" x14ac:dyDescent="0.3">
      <c r="A76" s="16"/>
      <c r="B76" s="16"/>
      <c r="C76" s="23" t="s">
        <v>21</v>
      </c>
      <c r="D76" s="24" t="s">
        <v>22</v>
      </c>
      <c r="E76" s="24" t="s">
        <v>23</v>
      </c>
      <c r="F76" s="24" t="s">
        <v>18</v>
      </c>
      <c r="G76" s="25" t="s">
        <v>19</v>
      </c>
      <c r="P76" s="17"/>
      <c r="Q76" s="17"/>
    </row>
    <row r="77" spans="1:19" ht="15.75" thickBot="1" x14ac:dyDescent="0.3">
      <c r="A77" s="16"/>
      <c r="B77" s="16"/>
      <c r="C77" s="173" t="s">
        <v>26</v>
      </c>
      <c r="D77" s="174"/>
      <c r="E77" s="174"/>
      <c r="F77" s="174"/>
      <c r="G77" s="175"/>
      <c r="P77" s="17"/>
      <c r="Q77" s="17"/>
    </row>
    <row r="78" spans="1:19" ht="15.75" thickBot="1" x14ac:dyDescent="0.3">
      <c r="A78" s="16"/>
      <c r="B78" s="16"/>
      <c r="P78" s="17"/>
      <c r="Q78" s="17"/>
    </row>
    <row r="79" spans="1:19" ht="15.75" thickBot="1" x14ac:dyDescent="0.3">
      <c r="A79" s="16"/>
      <c r="B79" s="151" t="s">
        <v>31</v>
      </c>
      <c r="C79" s="152"/>
      <c r="D79" s="152"/>
      <c r="E79" s="152"/>
      <c r="F79" s="152"/>
      <c r="G79" s="152"/>
      <c r="H79" s="152"/>
      <c r="I79" s="152"/>
      <c r="J79" s="152"/>
      <c r="K79" s="152"/>
      <c r="L79" s="152"/>
      <c r="M79" s="152"/>
      <c r="N79" s="152"/>
      <c r="O79" s="152"/>
      <c r="P79" s="153"/>
      <c r="Q79" s="17"/>
    </row>
    <row r="80" spans="1:19" x14ac:dyDescent="0.25">
      <c r="A80" s="16"/>
      <c r="B80" s="154" t="s">
        <v>66</v>
      </c>
      <c r="C80" s="155"/>
      <c r="D80" s="155"/>
      <c r="E80" s="155"/>
      <c r="F80" s="155"/>
      <c r="G80" s="155"/>
      <c r="H80" s="155"/>
      <c r="I80" s="155"/>
      <c r="J80" s="155"/>
      <c r="K80" s="155"/>
      <c r="L80" s="155"/>
      <c r="M80" s="155"/>
      <c r="N80" s="155"/>
      <c r="O80" s="155"/>
      <c r="P80" s="156"/>
      <c r="Q80" s="17"/>
    </row>
    <row r="81" spans="1:19" x14ac:dyDescent="0.25">
      <c r="A81" s="16"/>
      <c r="B81" s="157"/>
      <c r="C81" s="158"/>
      <c r="D81" s="158"/>
      <c r="E81" s="158"/>
      <c r="F81" s="158"/>
      <c r="G81" s="158"/>
      <c r="H81" s="158"/>
      <c r="I81" s="158"/>
      <c r="J81" s="158"/>
      <c r="K81" s="158"/>
      <c r="L81" s="158"/>
      <c r="M81" s="158"/>
      <c r="N81" s="158"/>
      <c r="O81" s="158"/>
      <c r="P81" s="159"/>
      <c r="Q81" s="17"/>
    </row>
    <row r="82" spans="1:19" x14ac:dyDescent="0.25">
      <c r="A82" s="16"/>
      <c r="B82" s="157"/>
      <c r="C82" s="158"/>
      <c r="D82" s="158"/>
      <c r="E82" s="158"/>
      <c r="F82" s="158"/>
      <c r="G82" s="158"/>
      <c r="H82" s="158"/>
      <c r="I82" s="158"/>
      <c r="J82" s="158"/>
      <c r="K82" s="158"/>
      <c r="L82" s="158"/>
      <c r="M82" s="158"/>
      <c r="N82" s="158"/>
      <c r="O82" s="158"/>
      <c r="P82" s="159"/>
      <c r="Q82" s="17"/>
    </row>
    <row r="83" spans="1:19" ht="15.75" thickBot="1" x14ac:dyDescent="0.3">
      <c r="A83" s="16"/>
      <c r="B83" s="160"/>
      <c r="C83" s="161"/>
      <c r="D83" s="161"/>
      <c r="E83" s="161"/>
      <c r="F83" s="161"/>
      <c r="G83" s="161"/>
      <c r="H83" s="161"/>
      <c r="I83" s="161"/>
      <c r="J83" s="161"/>
      <c r="K83" s="161"/>
      <c r="L83" s="161"/>
      <c r="M83" s="161"/>
      <c r="N83" s="161"/>
      <c r="O83" s="161"/>
      <c r="P83" s="162"/>
      <c r="Q83" s="17"/>
    </row>
    <row r="84" spans="1:19" ht="15.75" thickBot="1" x14ac:dyDescent="0.3">
      <c r="A84" s="16"/>
      <c r="Q84" s="17"/>
    </row>
    <row r="85" spans="1:19" ht="15.75" thickBot="1" x14ac:dyDescent="0.3">
      <c r="A85" s="16"/>
      <c r="B85" s="26" t="s">
        <v>38</v>
      </c>
      <c r="C85" s="138" t="str">
        <f>C51</f>
        <v>Développement d'outils internes pour l'équipe Opérations : Craftee</v>
      </c>
      <c r="D85" s="139"/>
      <c r="E85" s="139"/>
      <c r="F85" s="139"/>
      <c r="G85" s="139"/>
      <c r="H85" s="139"/>
      <c r="I85" s="139"/>
      <c r="J85" s="139"/>
      <c r="K85" s="139"/>
      <c r="L85" s="139"/>
      <c r="M85" s="139"/>
      <c r="N85" s="139"/>
      <c r="O85" s="139"/>
      <c r="P85" s="140"/>
      <c r="Q85" s="17"/>
    </row>
    <row r="86" spans="1:19" ht="15.75" thickBot="1" x14ac:dyDescent="0.3">
      <c r="A86" s="16"/>
      <c r="B86" s="27"/>
      <c r="C86" s="28"/>
      <c r="D86" s="28"/>
      <c r="E86" s="28"/>
      <c r="F86" s="28"/>
      <c r="G86" s="28"/>
      <c r="H86" s="28"/>
      <c r="I86" s="28"/>
      <c r="J86" s="28"/>
      <c r="K86" s="28"/>
      <c r="L86" s="28"/>
      <c r="M86" s="28"/>
      <c r="N86" s="28"/>
      <c r="O86" s="28"/>
      <c r="P86" s="29"/>
      <c r="Q86" s="17"/>
    </row>
    <row r="87" spans="1:19" ht="15.75" thickBot="1" x14ac:dyDescent="0.3">
      <c r="A87" s="16"/>
      <c r="B87" s="12" t="s">
        <v>25</v>
      </c>
      <c r="C87" s="163" t="s">
        <v>57</v>
      </c>
      <c r="D87" s="164"/>
      <c r="E87" s="164"/>
      <c r="F87" s="164"/>
      <c r="G87" s="165"/>
      <c r="I87" s="138" t="s">
        <v>60</v>
      </c>
      <c r="J87" s="139"/>
      <c r="K87" s="139"/>
      <c r="L87" s="139"/>
      <c r="M87" s="139"/>
      <c r="N87" s="140"/>
      <c r="P87" s="17"/>
      <c r="Q87" s="17"/>
    </row>
    <row r="88" spans="1:19" ht="15.75" thickBot="1" x14ac:dyDescent="0.3">
      <c r="A88" s="16"/>
      <c r="B88" s="5" t="s">
        <v>20</v>
      </c>
      <c r="C88" s="34"/>
      <c r="D88" s="35"/>
      <c r="E88" s="35" t="s">
        <v>65</v>
      </c>
      <c r="F88" s="36"/>
      <c r="G88" s="37"/>
      <c r="I88" s="6" t="s">
        <v>28</v>
      </c>
      <c r="J88" s="7">
        <v>0.4</v>
      </c>
      <c r="K88" s="8">
        <v>0.6</v>
      </c>
      <c r="L88" s="9">
        <v>0.8</v>
      </c>
      <c r="M88" s="10">
        <v>1</v>
      </c>
      <c r="N88" s="11">
        <v>1.2</v>
      </c>
      <c r="P88" s="17"/>
      <c r="Q88" s="17"/>
      <c r="R88" s="50">
        <v>100</v>
      </c>
      <c r="S88" s="46">
        <f>IF(C85="/","/",R88*R89)</f>
        <v>100</v>
      </c>
    </row>
    <row r="89" spans="1:19" x14ac:dyDescent="0.25">
      <c r="A89" s="16"/>
      <c r="B89" s="3" t="s">
        <v>17</v>
      </c>
      <c r="C89" s="38"/>
      <c r="D89" s="39"/>
      <c r="E89" s="39"/>
      <c r="F89" s="40" t="s">
        <v>65</v>
      </c>
      <c r="G89" s="41"/>
      <c r="P89" s="17"/>
      <c r="Q89" s="17"/>
      <c r="R89" s="46">
        <f>IF(C90="X",0.7,IF(C89="X",0.8,IF(C88="X",0.9,IF(D90="X",0.8,IF(D89="X",0.9,IF(D88="X",0.9,IF(E90="X",0.9,IF(E89="X",1,IF(E88="X",1,IF(F90="X",1,IF(F89="X",1.1,IF(F88="X",1.1,IF(G90="X",1.1,IF(G89="X",1.2,IF(G88="X",1.25)))))))))))))))</f>
        <v>1</v>
      </c>
      <c r="S89" s="46">
        <f>IF(C85="/","/",1)</f>
        <v>1</v>
      </c>
    </row>
    <row r="90" spans="1:19" ht="15.75" thickBot="1" x14ac:dyDescent="0.3">
      <c r="A90" s="16"/>
      <c r="B90" s="4" t="s">
        <v>24</v>
      </c>
      <c r="C90" s="42"/>
      <c r="D90" s="43"/>
      <c r="E90" s="43"/>
      <c r="F90" s="44" t="s">
        <v>65</v>
      </c>
      <c r="G90" s="45"/>
      <c r="P90" s="17"/>
      <c r="Q90" s="17"/>
    </row>
    <row r="91" spans="1:19" ht="15.75" thickBot="1" x14ac:dyDescent="0.3">
      <c r="A91" s="16"/>
      <c r="B91" s="16"/>
      <c r="C91" s="23" t="s">
        <v>21</v>
      </c>
      <c r="D91" s="24" t="s">
        <v>22</v>
      </c>
      <c r="E91" s="24" t="s">
        <v>23</v>
      </c>
      <c r="F91" s="24" t="s">
        <v>18</v>
      </c>
      <c r="G91" s="25" t="s">
        <v>19</v>
      </c>
      <c r="P91" s="17"/>
      <c r="Q91" s="17"/>
    </row>
    <row r="92" spans="1:19" ht="15.75" thickBot="1" x14ac:dyDescent="0.3">
      <c r="A92" s="16"/>
      <c r="B92" s="16"/>
      <c r="C92" s="173" t="s">
        <v>26</v>
      </c>
      <c r="D92" s="174"/>
      <c r="E92" s="174"/>
      <c r="F92" s="174"/>
      <c r="G92" s="175"/>
      <c r="P92" s="17"/>
      <c r="Q92" s="17"/>
    </row>
    <row r="93" spans="1:19" ht="15.75" thickBot="1" x14ac:dyDescent="0.3">
      <c r="A93" s="16"/>
      <c r="B93" s="16"/>
      <c r="P93" s="17"/>
      <c r="Q93" s="17"/>
    </row>
    <row r="94" spans="1:19" ht="15.75" thickBot="1" x14ac:dyDescent="0.3">
      <c r="A94" s="16"/>
      <c r="B94" s="151" t="s">
        <v>30</v>
      </c>
      <c r="C94" s="152"/>
      <c r="D94" s="152"/>
      <c r="E94" s="152"/>
      <c r="F94" s="152"/>
      <c r="G94" s="152"/>
      <c r="H94" s="152"/>
      <c r="I94" s="152"/>
      <c r="J94" s="152"/>
      <c r="K94" s="152"/>
      <c r="L94" s="152"/>
      <c r="M94" s="152"/>
      <c r="N94" s="152"/>
      <c r="O94" s="152"/>
      <c r="P94" s="153"/>
      <c r="Q94" s="17"/>
    </row>
    <row r="95" spans="1:19" x14ac:dyDescent="0.25">
      <c r="A95" s="16"/>
      <c r="B95" s="154" t="s">
        <v>69</v>
      </c>
      <c r="C95" s="155"/>
      <c r="D95" s="155"/>
      <c r="E95" s="155"/>
      <c r="F95" s="155"/>
      <c r="G95" s="155"/>
      <c r="H95" s="155"/>
      <c r="I95" s="155"/>
      <c r="J95" s="155"/>
      <c r="K95" s="155"/>
      <c r="L95" s="155"/>
      <c r="M95" s="155"/>
      <c r="N95" s="155"/>
      <c r="O95" s="155"/>
      <c r="P95" s="156"/>
      <c r="Q95" s="17"/>
    </row>
    <row r="96" spans="1:19" x14ac:dyDescent="0.25">
      <c r="A96" s="16"/>
      <c r="B96" s="157"/>
      <c r="C96" s="158"/>
      <c r="D96" s="158"/>
      <c r="E96" s="158"/>
      <c r="F96" s="158"/>
      <c r="G96" s="158"/>
      <c r="H96" s="158"/>
      <c r="I96" s="158"/>
      <c r="J96" s="158"/>
      <c r="K96" s="158"/>
      <c r="L96" s="158"/>
      <c r="M96" s="158"/>
      <c r="N96" s="158"/>
      <c r="O96" s="158"/>
      <c r="P96" s="159"/>
      <c r="Q96" s="17"/>
    </row>
    <row r="97" spans="1:19" x14ac:dyDescent="0.25">
      <c r="A97" s="16"/>
      <c r="B97" s="157"/>
      <c r="C97" s="158"/>
      <c r="D97" s="158"/>
      <c r="E97" s="158"/>
      <c r="F97" s="158"/>
      <c r="G97" s="158"/>
      <c r="H97" s="158"/>
      <c r="I97" s="158"/>
      <c r="J97" s="158"/>
      <c r="K97" s="158"/>
      <c r="L97" s="158"/>
      <c r="M97" s="158"/>
      <c r="N97" s="158"/>
      <c r="O97" s="158"/>
      <c r="P97" s="159"/>
      <c r="Q97" s="17"/>
    </row>
    <row r="98" spans="1:19" ht="15.75" thickBot="1" x14ac:dyDescent="0.3">
      <c r="A98" s="16"/>
      <c r="B98" s="160"/>
      <c r="C98" s="161"/>
      <c r="D98" s="161"/>
      <c r="E98" s="161"/>
      <c r="F98" s="161"/>
      <c r="G98" s="161"/>
      <c r="H98" s="161"/>
      <c r="I98" s="161"/>
      <c r="J98" s="161"/>
      <c r="K98" s="161"/>
      <c r="L98" s="161"/>
      <c r="M98" s="161"/>
      <c r="N98" s="161"/>
      <c r="O98" s="161"/>
      <c r="P98" s="162"/>
      <c r="Q98" s="17"/>
    </row>
    <row r="99" spans="1:19" ht="15.75" thickBot="1" x14ac:dyDescent="0.3">
      <c r="A99" s="16"/>
      <c r="Q99" s="17"/>
    </row>
    <row r="100" spans="1:19" ht="15.75" thickBot="1" x14ac:dyDescent="0.3">
      <c r="A100" s="16"/>
      <c r="B100" s="26" t="s">
        <v>39</v>
      </c>
      <c r="C100" s="138" t="str">
        <f>C52</f>
        <v>Thèse professionnelle</v>
      </c>
      <c r="D100" s="139"/>
      <c r="E100" s="139"/>
      <c r="F100" s="139"/>
      <c r="G100" s="139"/>
      <c r="H100" s="139"/>
      <c r="I100" s="139"/>
      <c r="J100" s="139"/>
      <c r="K100" s="139"/>
      <c r="L100" s="139"/>
      <c r="M100" s="139"/>
      <c r="N100" s="139"/>
      <c r="O100" s="139"/>
      <c r="P100" s="140"/>
      <c r="Q100" s="17"/>
    </row>
    <row r="101" spans="1:19" ht="15.75" thickBot="1" x14ac:dyDescent="0.3">
      <c r="A101" s="16"/>
      <c r="B101" s="16"/>
      <c r="P101" s="17"/>
      <c r="Q101" s="17"/>
    </row>
    <row r="102" spans="1:19" ht="15.75" thickBot="1" x14ac:dyDescent="0.3">
      <c r="A102" s="16"/>
      <c r="B102" s="12" t="s">
        <v>25</v>
      </c>
      <c r="C102" s="163" t="s">
        <v>58</v>
      </c>
      <c r="D102" s="164"/>
      <c r="E102" s="164"/>
      <c r="F102" s="164"/>
      <c r="G102" s="165"/>
      <c r="I102" s="138" t="s">
        <v>60</v>
      </c>
      <c r="J102" s="139"/>
      <c r="K102" s="139"/>
      <c r="L102" s="139"/>
      <c r="M102" s="139"/>
      <c r="N102" s="140"/>
      <c r="P102" s="17"/>
      <c r="Q102" s="17"/>
      <c r="R102" s="50">
        <v>100</v>
      </c>
      <c r="S102" s="46">
        <f>IF(C100="/","/",R102*R103)</f>
        <v>110.00000000000001</v>
      </c>
    </row>
    <row r="103" spans="1:19" ht="15.75" thickBot="1" x14ac:dyDescent="0.3">
      <c r="A103" s="16"/>
      <c r="B103" s="5" t="s">
        <v>20</v>
      </c>
      <c r="C103" s="34"/>
      <c r="D103" s="35"/>
      <c r="E103" s="35"/>
      <c r="F103" s="36"/>
      <c r="G103" s="37" t="s">
        <v>65</v>
      </c>
      <c r="I103" s="6" t="s">
        <v>28</v>
      </c>
      <c r="J103" s="7">
        <v>0.4</v>
      </c>
      <c r="K103" s="8">
        <v>0.6</v>
      </c>
      <c r="L103" s="9">
        <v>0.8</v>
      </c>
      <c r="M103" s="10">
        <v>1</v>
      </c>
      <c r="N103" s="11">
        <v>1.2</v>
      </c>
      <c r="P103" s="17"/>
      <c r="Q103" s="17"/>
      <c r="R103" s="46">
        <f>IF(C105="X",0.7,IF(C104="X",0.8,IF(C103="X",0.9,IF(D105="X",0.8,IF(D104="X",0.9,IF(D103="X",0.9,IF(E105="X",0.9,IF(E104="X",1,IF(E103="X",1,IF(F105="X",1,IF(F104="X",1.1,IF(F103="X",1.1,IF(G105="X",1.1,IF(G104="X",1.2,IF(G103="X",1.25)))))))))))))))</f>
        <v>1.1000000000000001</v>
      </c>
      <c r="S103" s="46">
        <f>IF(C100="/","/",1)</f>
        <v>1</v>
      </c>
    </row>
    <row r="104" spans="1:19" x14ac:dyDescent="0.25">
      <c r="A104" s="16"/>
      <c r="B104" s="3" t="s">
        <v>17</v>
      </c>
      <c r="C104" s="38"/>
      <c r="D104" s="39"/>
      <c r="E104" s="39"/>
      <c r="F104" s="40"/>
      <c r="G104" s="41" t="s">
        <v>65</v>
      </c>
      <c r="P104" s="17"/>
      <c r="Q104" s="17"/>
    </row>
    <row r="105" spans="1:19" ht="15.75" thickBot="1" x14ac:dyDescent="0.3">
      <c r="A105" s="16"/>
      <c r="B105" s="4" t="s">
        <v>24</v>
      </c>
      <c r="C105" s="42"/>
      <c r="D105" s="43"/>
      <c r="E105" s="43"/>
      <c r="F105" s="44"/>
      <c r="G105" s="45" t="s">
        <v>65</v>
      </c>
      <c r="P105" s="17"/>
      <c r="Q105" s="17"/>
    </row>
    <row r="106" spans="1:19" ht="15.75" thickBot="1" x14ac:dyDescent="0.3">
      <c r="A106" s="16"/>
      <c r="B106" s="16"/>
      <c r="C106" s="23" t="s">
        <v>21</v>
      </c>
      <c r="D106" s="24" t="s">
        <v>22</v>
      </c>
      <c r="E106" s="24" t="s">
        <v>23</v>
      </c>
      <c r="F106" s="24" t="s">
        <v>18</v>
      </c>
      <c r="G106" s="25" t="s">
        <v>19</v>
      </c>
      <c r="P106" s="17"/>
      <c r="Q106" s="17"/>
    </row>
    <row r="107" spans="1:19" ht="15.75" thickBot="1" x14ac:dyDescent="0.3">
      <c r="A107" s="16"/>
      <c r="B107" s="16"/>
      <c r="C107" s="173" t="s">
        <v>26</v>
      </c>
      <c r="D107" s="174"/>
      <c r="E107" s="174"/>
      <c r="F107" s="174"/>
      <c r="G107" s="175"/>
      <c r="P107" s="17"/>
      <c r="Q107" s="17"/>
    </row>
    <row r="108" spans="1:19" x14ac:dyDescent="0.25">
      <c r="A108" s="16"/>
      <c r="B108" s="16"/>
      <c r="P108" s="17"/>
      <c r="Q108" s="17"/>
    </row>
    <row r="109" spans="1:19" ht="15.75" thickBot="1" x14ac:dyDescent="0.3">
      <c r="A109" s="16"/>
      <c r="B109" s="30"/>
      <c r="C109" s="18"/>
      <c r="D109" s="18"/>
      <c r="E109" s="18"/>
      <c r="F109" s="18"/>
      <c r="G109" s="18"/>
      <c r="H109" s="18"/>
      <c r="I109" s="18"/>
      <c r="J109" s="18"/>
      <c r="K109" s="18"/>
      <c r="L109" s="18"/>
      <c r="M109" s="18"/>
      <c r="N109" s="18"/>
      <c r="O109" s="18"/>
      <c r="P109" s="19"/>
      <c r="Q109" s="17"/>
    </row>
    <row r="110" spans="1:19" ht="15.75" thickBot="1" x14ac:dyDescent="0.3">
      <c r="A110" s="16"/>
      <c r="B110" s="151" t="s">
        <v>29</v>
      </c>
      <c r="C110" s="152"/>
      <c r="D110" s="152"/>
      <c r="E110" s="152"/>
      <c r="F110" s="152"/>
      <c r="G110" s="152"/>
      <c r="H110" s="152"/>
      <c r="I110" s="152"/>
      <c r="J110" s="152"/>
      <c r="K110" s="152"/>
      <c r="L110" s="152"/>
      <c r="M110" s="152"/>
      <c r="N110" s="152"/>
      <c r="O110" s="152"/>
      <c r="P110" s="153"/>
      <c r="Q110" s="17"/>
    </row>
    <row r="111" spans="1:19" x14ac:dyDescent="0.25">
      <c r="A111" s="16"/>
      <c r="B111" s="154" t="s">
        <v>71</v>
      </c>
      <c r="C111" s="155"/>
      <c r="D111" s="155"/>
      <c r="E111" s="155"/>
      <c r="F111" s="155"/>
      <c r="G111" s="155"/>
      <c r="H111" s="155"/>
      <c r="I111" s="155"/>
      <c r="J111" s="155"/>
      <c r="K111" s="155"/>
      <c r="L111" s="155"/>
      <c r="M111" s="155"/>
      <c r="N111" s="155"/>
      <c r="O111" s="155"/>
      <c r="P111" s="156"/>
      <c r="Q111" s="17"/>
    </row>
    <row r="112" spans="1:19" x14ac:dyDescent="0.25">
      <c r="A112" s="16"/>
      <c r="B112" s="157"/>
      <c r="C112" s="158"/>
      <c r="D112" s="158"/>
      <c r="E112" s="158"/>
      <c r="F112" s="158"/>
      <c r="G112" s="158"/>
      <c r="H112" s="158"/>
      <c r="I112" s="158"/>
      <c r="J112" s="158"/>
      <c r="K112" s="158"/>
      <c r="L112" s="158"/>
      <c r="M112" s="158"/>
      <c r="N112" s="158"/>
      <c r="O112" s="158"/>
      <c r="P112" s="159"/>
      <c r="Q112" s="17"/>
    </row>
    <row r="113" spans="1:19" x14ac:dyDescent="0.25">
      <c r="A113" s="16"/>
      <c r="B113" s="157"/>
      <c r="C113" s="158"/>
      <c r="D113" s="158"/>
      <c r="E113" s="158"/>
      <c r="F113" s="158"/>
      <c r="G113" s="158"/>
      <c r="H113" s="158"/>
      <c r="I113" s="158"/>
      <c r="J113" s="158"/>
      <c r="K113" s="158"/>
      <c r="L113" s="158"/>
      <c r="M113" s="158"/>
      <c r="N113" s="158"/>
      <c r="O113" s="158"/>
      <c r="P113" s="159"/>
      <c r="Q113" s="17"/>
    </row>
    <row r="114" spans="1:19" ht="15.75" thickBot="1" x14ac:dyDescent="0.3">
      <c r="A114" s="16"/>
      <c r="B114" s="160"/>
      <c r="C114" s="161"/>
      <c r="D114" s="161"/>
      <c r="E114" s="161"/>
      <c r="F114" s="161"/>
      <c r="G114" s="161"/>
      <c r="H114" s="161"/>
      <c r="I114" s="161"/>
      <c r="J114" s="161"/>
      <c r="K114" s="161"/>
      <c r="L114" s="161"/>
      <c r="M114" s="161"/>
      <c r="N114" s="161"/>
      <c r="O114" s="161"/>
      <c r="P114" s="162"/>
      <c r="Q114" s="17"/>
    </row>
    <row r="115" spans="1:19" ht="15.75" thickBot="1" x14ac:dyDescent="0.3">
      <c r="A115" s="16"/>
      <c r="Q115" s="17"/>
    </row>
    <row r="116" spans="1:19" ht="15.75" thickBot="1" x14ac:dyDescent="0.3">
      <c r="A116" s="16"/>
      <c r="B116" s="26" t="s">
        <v>40</v>
      </c>
      <c r="C116" s="138" t="str">
        <f>C53</f>
        <v>/</v>
      </c>
      <c r="D116" s="139"/>
      <c r="E116" s="139"/>
      <c r="F116" s="139"/>
      <c r="G116" s="139"/>
      <c r="H116" s="139"/>
      <c r="I116" s="139"/>
      <c r="J116" s="139"/>
      <c r="K116" s="139"/>
      <c r="L116" s="139"/>
      <c r="M116" s="139"/>
      <c r="N116" s="139"/>
      <c r="O116" s="139"/>
      <c r="P116" s="140"/>
      <c r="Q116" s="17"/>
    </row>
    <row r="117" spans="1:19" ht="15.75" thickBot="1" x14ac:dyDescent="0.3">
      <c r="A117" s="16"/>
      <c r="B117" s="16"/>
      <c r="P117" s="17"/>
      <c r="Q117" s="17"/>
    </row>
    <row r="118" spans="1:19" ht="15.75" thickBot="1" x14ac:dyDescent="0.3">
      <c r="A118" s="16"/>
      <c r="B118" s="12" t="s">
        <v>25</v>
      </c>
      <c r="C118" s="163" t="s">
        <v>58</v>
      </c>
      <c r="D118" s="164"/>
      <c r="E118" s="164"/>
      <c r="F118" s="164"/>
      <c r="G118" s="165"/>
      <c r="I118" s="138" t="s">
        <v>60</v>
      </c>
      <c r="J118" s="139"/>
      <c r="K118" s="139"/>
      <c r="L118" s="139"/>
      <c r="M118" s="139"/>
      <c r="N118" s="140"/>
      <c r="P118" s="17"/>
      <c r="Q118" s="17"/>
    </row>
    <row r="119" spans="1:19" ht="15.75" thickBot="1" x14ac:dyDescent="0.3">
      <c r="A119" s="16"/>
      <c r="B119" s="5" t="s">
        <v>20</v>
      </c>
      <c r="C119" s="34"/>
      <c r="D119" s="35"/>
      <c r="E119" s="35"/>
      <c r="F119" s="36"/>
      <c r="G119" s="37"/>
      <c r="I119" s="6" t="s">
        <v>28</v>
      </c>
      <c r="J119" s="7">
        <v>0.4</v>
      </c>
      <c r="K119" s="8">
        <v>0.6</v>
      </c>
      <c r="L119" s="9">
        <v>0.8</v>
      </c>
      <c r="M119" s="10">
        <v>1</v>
      </c>
      <c r="N119" s="11">
        <v>1.2</v>
      </c>
      <c r="P119" s="17"/>
      <c r="Q119" s="17"/>
      <c r="R119" s="50">
        <v>20</v>
      </c>
      <c r="S119" s="46" t="str">
        <f>IF(C116="/","/",R119*R120)</f>
        <v>/</v>
      </c>
    </row>
    <row r="120" spans="1:19" x14ac:dyDescent="0.25">
      <c r="A120" s="16"/>
      <c r="B120" s="3" t="s">
        <v>17</v>
      </c>
      <c r="C120" s="38"/>
      <c r="D120" s="39"/>
      <c r="E120" s="39"/>
      <c r="F120" s="40"/>
      <c r="G120" s="41"/>
      <c r="P120" s="17"/>
      <c r="Q120" s="17"/>
      <c r="R120" s="46" t="b">
        <f>IF(C121="X",0.7,IF(C120="X",0.8,IF(C119="X",0.9,IF(D121="X",0.8,IF(D120="X",0.9,IF(D119="X",0.9,IF(E121="X",0.9,IF(E120="X",1,IF(E119="X",1,IF(F121="X",1,IF(F120="X",1.1,IF(F119="X",1.1,IF(G121="X",1.1,IF(G120="X",1.2,IF(G119="X",1.25)))))))))))))))</f>
        <v>0</v>
      </c>
      <c r="S120" s="46" t="str">
        <f>IF(C116="/","/",1)</f>
        <v>/</v>
      </c>
    </row>
    <row r="121" spans="1:19" ht="15.75" thickBot="1" x14ac:dyDescent="0.3">
      <c r="A121" s="16"/>
      <c r="B121" s="4" t="s">
        <v>24</v>
      </c>
      <c r="C121" s="42"/>
      <c r="D121" s="43"/>
      <c r="E121" s="43"/>
      <c r="F121" s="44"/>
      <c r="G121" s="45"/>
      <c r="P121" s="17"/>
      <c r="Q121" s="17"/>
    </row>
    <row r="122" spans="1:19" ht="15.75" thickBot="1" x14ac:dyDescent="0.3">
      <c r="A122" s="16"/>
      <c r="B122" s="16"/>
      <c r="C122" s="23" t="s">
        <v>21</v>
      </c>
      <c r="D122" s="24" t="s">
        <v>22</v>
      </c>
      <c r="E122" s="24" t="s">
        <v>23</v>
      </c>
      <c r="F122" s="24" t="s">
        <v>18</v>
      </c>
      <c r="G122" s="25" t="s">
        <v>19</v>
      </c>
      <c r="P122" s="17"/>
      <c r="Q122" s="17"/>
    </row>
    <row r="123" spans="1:19" ht="15.75" thickBot="1" x14ac:dyDescent="0.3">
      <c r="A123" s="16"/>
      <c r="B123" s="16"/>
      <c r="C123" s="173" t="s">
        <v>26</v>
      </c>
      <c r="D123" s="174"/>
      <c r="E123" s="174"/>
      <c r="F123" s="174"/>
      <c r="G123" s="175"/>
      <c r="P123" s="17"/>
      <c r="Q123" s="17"/>
    </row>
    <row r="124" spans="1:19" x14ac:dyDescent="0.25">
      <c r="A124" s="16"/>
      <c r="B124" s="16"/>
      <c r="P124" s="17"/>
      <c r="Q124" s="17"/>
    </row>
    <row r="125" spans="1:19" ht="15.75" thickBot="1" x14ac:dyDescent="0.3">
      <c r="A125" s="16"/>
      <c r="B125" s="30"/>
      <c r="C125" s="18"/>
      <c r="D125" s="18"/>
      <c r="E125" s="18"/>
      <c r="F125" s="18"/>
      <c r="G125" s="18"/>
      <c r="H125" s="18"/>
      <c r="I125" s="18"/>
      <c r="J125" s="18"/>
      <c r="K125" s="18"/>
      <c r="L125" s="18"/>
      <c r="M125" s="18"/>
      <c r="N125" s="18"/>
      <c r="O125" s="18"/>
      <c r="P125" s="19"/>
      <c r="Q125" s="17"/>
    </row>
    <row r="126" spans="1:19" ht="15.75" thickBot="1" x14ac:dyDescent="0.3">
      <c r="A126" s="16"/>
      <c r="B126" s="151" t="s">
        <v>33</v>
      </c>
      <c r="C126" s="152"/>
      <c r="D126" s="152"/>
      <c r="E126" s="152"/>
      <c r="F126" s="152"/>
      <c r="G126" s="152"/>
      <c r="H126" s="152"/>
      <c r="I126" s="152"/>
      <c r="J126" s="152"/>
      <c r="K126" s="152"/>
      <c r="L126" s="152"/>
      <c r="M126" s="152"/>
      <c r="N126" s="152"/>
      <c r="O126" s="152"/>
      <c r="P126" s="153"/>
      <c r="Q126" s="17"/>
    </row>
    <row r="127" spans="1:19" x14ac:dyDescent="0.25">
      <c r="A127" s="16"/>
      <c r="B127" s="154"/>
      <c r="C127" s="155"/>
      <c r="D127" s="155"/>
      <c r="E127" s="155"/>
      <c r="F127" s="155"/>
      <c r="G127" s="155"/>
      <c r="H127" s="155"/>
      <c r="I127" s="155"/>
      <c r="J127" s="155"/>
      <c r="K127" s="155"/>
      <c r="L127" s="155"/>
      <c r="M127" s="155"/>
      <c r="N127" s="155"/>
      <c r="O127" s="155"/>
      <c r="P127" s="156"/>
      <c r="Q127" s="17"/>
    </row>
    <row r="128" spans="1:19" x14ac:dyDescent="0.25">
      <c r="A128" s="16"/>
      <c r="B128" s="157"/>
      <c r="C128" s="158"/>
      <c r="D128" s="158"/>
      <c r="E128" s="158"/>
      <c r="F128" s="158"/>
      <c r="G128" s="158"/>
      <c r="H128" s="158"/>
      <c r="I128" s="158"/>
      <c r="J128" s="158"/>
      <c r="K128" s="158"/>
      <c r="L128" s="158"/>
      <c r="M128" s="158"/>
      <c r="N128" s="158"/>
      <c r="O128" s="158"/>
      <c r="P128" s="159"/>
      <c r="Q128" s="17"/>
    </row>
    <row r="129" spans="1:21" x14ac:dyDescent="0.25">
      <c r="A129" s="16"/>
      <c r="B129" s="157"/>
      <c r="C129" s="158"/>
      <c r="D129" s="158"/>
      <c r="E129" s="158"/>
      <c r="F129" s="158"/>
      <c r="G129" s="158"/>
      <c r="H129" s="158"/>
      <c r="I129" s="158"/>
      <c r="J129" s="158"/>
      <c r="K129" s="158"/>
      <c r="L129" s="158"/>
      <c r="M129" s="158"/>
      <c r="N129" s="158"/>
      <c r="O129" s="158"/>
      <c r="P129" s="159"/>
      <c r="Q129" s="17"/>
    </row>
    <row r="130" spans="1:21" ht="15.75" thickBot="1" x14ac:dyDescent="0.3">
      <c r="A130" s="16"/>
      <c r="B130" s="160"/>
      <c r="C130" s="161"/>
      <c r="D130" s="161"/>
      <c r="E130" s="161"/>
      <c r="F130" s="161"/>
      <c r="G130" s="161"/>
      <c r="H130" s="161"/>
      <c r="I130" s="161"/>
      <c r="J130" s="161"/>
      <c r="K130" s="161"/>
      <c r="L130" s="161"/>
      <c r="M130" s="161"/>
      <c r="N130" s="161"/>
      <c r="O130" s="161"/>
      <c r="P130" s="162"/>
      <c r="Q130" s="17"/>
    </row>
    <row r="131" spans="1:21" ht="15.75" thickBot="1" x14ac:dyDescent="0.3">
      <c r="A131" s="16"/>
      <c r="Q131" s="17"/>
    </row>
    <row r="132" spans="1:21" ht="15.75" thickBot="1" x14ac:dyDescent="0.3">
      <c r="A132" s="176" t="s">
        <v>12</v>
      </c>
      <c r="B132" s="177"/>
      <c r="C132" s="177"/>
      <c r="D132" s="177"/>
      <c r="E132" s="177"/>
      <c r="F132" s="177"/>
      <c r="G132" s="177"/>
      <c r="H132" s="177"/>
      <c r="I132" s="177"/>
      <c r="J132" s="177"/>
      <c r="K132" s="177"/>
      <c r="L132" s="177"/>
      <c r="M132" s="178"/>
      <c r="N132" s="33"/>
      <c r="O132" s="144" t="s">
        <v>13</v>
      </c>
      <c r="P132" s="145"/>
      <c r="Q132" s="17"/>
    </row>
    <row r="133" spans="1:21" ht="15.75" thickBot="1" x14ac:dyDescent="0.3">
      <c r="A133" s="185" t="s">
        <v>72</v>
      </c>
      <c r="B133" s="186"/>
      <c r="C133" s="186"/>
      <c r="D133" s="186"/>
      <c r="E133" s="186"/>
      <c r="F133" s="186"/>
      <c r="G133" s="186"/>
      <c r="H133" s="186"/>
      <c r="I133" s="186"/>
      <c r="J133" s="186"/>
      <c r="K133" s="186"/>
      <c r="L133" s="186"/>
      <c r="M133" s="187"/>
      <c r="N133" s="33"/>
      <c r="O133" s="149"/>
      <c r="P133" s="172"/>
      <c r="Q133" s="17"/>
    </row>
    <row r="134" spans="1:21" ht="14.25" customHeight="1" x14ac:dyDescent="0.25">
      <c r="A134" s="116"/>
      <c r="B134" s="117"/>
      <c r="C134" s="117"/>
      <c r="D134" s="117"/>
      <c r="E134" s="117"/>
      <c r="F134" s="117"/>
      <c r="G134" s="117"/>
      <c r="H134" s="117"/>
      <c r="I134" s="117"/>
      <c r="J134" s="117"/>
      <c r="K134" s="117"/>
      <c r="L134" s="117"/>
      <c r="M134" s="118"/>
      <c r="N134" s="33"/>
      <c r="O134" s="166">
        <f>SUM(S119,S102,S88,S58,S73)/SUM(S120,S103,S89,S74,S59)</f>
        <v>102.5</v>
      </c>
      <c r="P134" s="167"/>
      <c r="Q134" s="17"/>
      <c r="R134" s="46">
        <f>O134*20/100</f>
        <v>20.5</v>
      </c>
      <c r="U134" s="54"/>
    </row>
    <row r="135" spans="1:21" ht="15" customHeight="1" x14ac:dyDescent="0.25">
      <c r="A135" s="116"/>
      <c r="B135" s="117"/>
      <c r="C135" s="117"/>
      <c r="D135" s="117"/>
      <c r="E135" s="117"/>
      <c r="F135" s="117"/>
      <c r="G135" s="117"/>
      <c r="H135" s="117"/>
      <c r="I135" s="117"/>
      <c r="J135" s="117"/>
      <c r="K135" s="117"/>
      <c r="L135" s="117"/>
      <c r="M135" s="118"/>
      <c r="N135" s="33"/>
      <c r="O135" s="168"/>
      <c r="P135" s="169"/>
      <c r="Q135" s="17"/>
    </row>
    <row r="136" spans="1:21" ht="15" customHeight="1" x14ac:dyDescent="0.25">
      <c r="A136" s="116"/>
      <c r="B136" s="117"/>
      <c r="C136" s="117"/>
      <c r="D136" s="117"/>
      <c r="E136" s="117"/>
      <c r="F136" s="117"/>
      <c r="G136" s="117"/>
      <c r="H136" s="117"/>
      <c r="I136" s="117"/>
      <c r="J136" s="117"/>
      <c r="K136" s="117"/>
      <c r="L136" s="117"/>
      <c r="M136" s="118"/>
      <c r="N136" s="33"/>
      <c r="O136" s="168"/>
      <c r="P136" s="169"/>
      <c r="Q136" s="17"/>
    </row>
    <row r="137" spans="1:21" ht="15" customHeight="1" x14ac:dyDescent="0.25">
      <c r="A137" s="116"/>
      <c r="B137" s="117"/>
      <c r="C137" s="117"/>
      <c r="D137" s="117"/>
      <c r="E137" s="117"/>
      <c r="F137" s="117"/>
      <c r="G137" s="117"/>
      <c r="H137" s="117"/>
      <c r="I137" s="117"/>
      <c r="J137" s="117"/>
      <c r="K137" s="117"/>
      <c r="L137" s="117"/>
      <c r="M137" s="118"/>
      <c r="N137" s="33"/>
      <c r="O137" s="170" t="s">
        <v>41</v>
      </c>
      <c r="P137" s="170"/>
      <c r="Q137" s="17"/>
    </row>
    <row r="138" spans="1:21" ht="15" customHeight="1" x14ac:dyDescent="0.25">
      <c r="A138" s="116"/>
      <c r="B138" s="117"/>
      <c r="C138" s="117"/>
      <c r="D138" s="117"/>
      <c r="E138" s="117"/>
      <c r="F138" s="117"/>
      <c r="G138" s="117"/>
      <c r="H138" s="117"/>
      <c r="I138" s="117"/>
      <c r="J138" s="117"/>
      <c r="K138" s="117"/>
      <c r="L138" s="117"/>
      <c r="M138" s="118"/>
      <c r="N138" s="33"/>
      <c r="O138" s="171">
        <f>IF(O134&gt;=100,20,R134)</f>
        <v>20</v>
      </c>
      <c r="P138" s="171"/>
      <c r="Q138" s="17"/>
    </row>
    <row r="139" spans="1:21" ht="15" customHeight="1" x14ac:dyDescent="0.25">
      <c r="A139" s="116"/>
      <c r="B139" s="117"/>
      <c r="C139" s="117"/>
      <c r="D139" s="117"/>
      <c r="E139" s="117"/>
      <c r="F139" s="117"/>
      <c r="G139" s="117"/>
      <c r="H139" s="117"/>
      <c r="I139" s="117"/>
      <c r="J139" s="117"/>
      <c r="K139" s="117"/>
      <c r="L139" s="117"/>
      <c r="M139" s="118"/>
      <c r="N139" s="33"/>
      <c r="O139" s="171"/>
      <c r="P139" s="171"/>
      <c r="Q139" s="17"/>
    </row>
    <row r="140" spans="1:21" ht="15" customHeight="1" x14ac:dyDescent="0.25">
      <c r="A140" s="116"/>
      <c r="B140" s="117"/>
      <c r="C140" s="117"/>
      <c r="D140" s="117"/>
      <c r="E140" s="117"/>
      <c r="F140" s="117"/>
      <c r="G140" s="117"/>
      <c r="H140" s="117"/>
      <c r="I140" s="117"/>
      <c r="J140" s="117"/>
      <c r="K140" s="117"/>
      <c r="L140" s="117"/>
      <c r="M140" s="118"/>
      <c r="N140" s="33"/>
      <c r="O140" s="52"/>
      <c r="P140" s="46"/>
      <c r="Q140" s="17"/>
    </row>
    <row r="141" spans="1:21" ht="15" customHeight="1" x14ac:dyDescent="0.25">
      <c r="A141" s="116"/>
      <c r="B141" s="117"/>
      <c r="C141" s="117"/>
      <c r="D141" s="117"/>
      <c r="E141" s="117"/>
      <c r="F141" s="117"/>
      <c r="G141" s="117"/>
      <c r="H141" s="117"/>
      <c r="I141" s="117"/>
      <c r="J141" s="117"/>
      <c r="K141" s="117"/>
      <c r="L141" s="117"/>
      <c r="M141" s="118"/>
      <c r="N141" s="33"/>
      <c r="O141" s="128" t="s">
        <v>54</v>
      </c>
      <c r="P141" s="129"/>
      <c r="Q141" s="17"/>
    </row>
    <row r="142" spans="1:21" ht="15.75" customHeight="1" thickBot="1" x14ac:dyDescent="0.3">
      <c r="A142" s="119"/>
      <c r="B142" s="120"/>
      <c r="C142" s="120"/>
      <c r="D142" s="120"/>
      <c r="E142" s="120"/>
      <c r="F142" s="120"/>
      <c r="G142" s="120"/>
      <c r="H142" s="120"/>
      <c r="I142" s="120"/>
      <c r="J142" s="120"/>
      <c r="K142" s="120"/>
      <c r="L142" s="120"/>
      <c r="M142" s="121"/>
      <c r="N142" s="33"/>
      <c r="O142" s="130"/>
      <c r="P142" s="131"/>
      <c r="Q142" s="17"/>
    </row>
    <row r="143" spans="1:21" ht="15" customHeight="1" x14ac:dyDescent="0.25">
      <c r="A143" s="16"/>
      <c r="O143" s="179">
        <v>20</v>
      </c>
      <c r="P143" s="180"/>
      <c r="Q143" s="17"/>
    </row>
    <row r="144" spans="1:21" ht="15" customHeight="1" x14ac:dyDescent="0.25">
      <c r="A144" s="16"/>
      <c r="O144" s="181"/>
      <c r="P144" s="182"/>
      <c r="Q144" s="17"/>
    </row>
    <row r="145" spans="1:17" ht="15.75" customHeight="1" thickBot="1" x14ac:dyDescent="0.3">
      <c r="A145" s="30"/>
      <c r="B145" s="18"/>
      <c r="C145" s="18"/>
      <c r="D145" s="18"/>
      <c r="E145" s="18"/>
      <c r="F145" s="18"/>
      <c r="G145" s="18"/>
      <c r="H145" s="18"/>
      <c r="I145" s="18"/>
      <c r="J145" s="18"/>
      <c r="K145" s="18"/>
      <c r="L145" s="18"/>
      <c r="M145" s="18"/>
      <c r="N145" s="18"/>
      <c r="O145" s="183"/>
      <c r="P145" s="184"/>
      <c r="Q145" s="19"/>
    </row>
  </sheetData>
  <sheetProtection algorithmName="SHA-512" hashValue="Kx8ZWWOR0M51n4CHl1WG+Bh/urqVXijlskYU4rpnCbjmKA+NLaD44Lxxa56nXWVych039QQHOSHyX6Mfli6EZw==" saltValue="FMOJRG6w4R5NamBoQ7A0tA==" spinCount="100000" sheet="1" objects="1" scenarios="1" selectLockedCells="1"/>
  <mergeCells count="69">
    <mergeCell ref="O143:P145"/>
    <mergeCell ref="C102:G102"/>
    <mergeCell ref="C118:G118"/>
    <mergeCell ref="C70:P70"/>
    <mergeCell ref="C107:G107"/>
    <mergeCell ref="B110:P110"/>
    <mergeCell ref="B111:P114"/>
    <mergeCell ref="C92:G92"/>
    <mergeCell ref="I102:N102"/>
    <mergeCell ref="B94:P94"/>
    <mergeCell ref="B95:P98"/>
    <mergeCell ref="C100:P100"/>
    <mergeCell ref="C77:G77"/>
    <mergeCell ref="A133:M142"/>
    <mergeCell ref="B126:P126"/>
    <mergeCell ref="B127:P130"/>
    <mergeCell ref="O134:P136"/>
    <mergeCell ref="O137:P137"/>
    <mergeCell ref="O138:P139"/>
    <mergeCell ref="O141:P142"/>
    <mergeCell ref="C51:P51"/>
    <mergeCell ref="C57:G57"/>
    <mergeCell ref="C116:P116"/>
    <mergeCell ref="O132:P133"/>
    <mergeCell ref="C123:G123"/>
    <mergeCell ref="I118:N118"/>
    <mergeCell ref="A132:M132"/>
    <mergeCell ref="C55:P55"/>
    <mergeCell ref="B64:P64"/>
    <mergeCell ref="B65:P68"/>
    <mergeCell ref="C62:G62"/>
    <mergeCell ref="I57:N57"/>
    <mergeCell ref="I87:N87"/>
    <mergeCell ref="C85:P85"/>
    <mergeCell ref="I72:N72"/>
    <mergeCell ref="B79:P79"/>
    <mergeCell ref="B80:P83"/>
    <mergeCell ref="C72:G72"/>
    <mergeCell ref="C87:G87"/>
    <mergeCell ref="A43:Q44"/>
    <mergeCell ref="C48:P48"/>
    <mergeCell ref="C49:P49"/>
    <mergeCell ref="C50:P50"/>
    <mergeCell ref="O28:P29"/>
    <mergeCell ref="A49:A53"/>
    <mergeCell ref="C52:P52"/>
    <mergeCell ref="C53:P53"/>
    <mergeCell ref="B46:P46"/>
    <mergeCell ref="A26:M26"/>
    <mergeCell ref="A27:M41"/>
    <mergeCell ref="O30:P32"/>
    <mergeCell ref="O33:P33"/>
    <mergeCell ref="O34:P35"/>
    <mergeCell ref="O37:P38"/>
    <mergeCell ref="O39:P41"/>
    <mergeCell ref="B8:G8"/>
    <mergeCell ref="B11:G11"/>
    <mergeCell ref="A7:G7"/>
    <mergeCell ref="A10:G10"/>
    <mergeCell ref="A1:Q2"/>
    <mergeCell ref="A4:H5"/>
    <mergeCell ref="A13:G13"/>
    <mergeCell ref="A16:G16"/>
    <mergeCell ref="A19:G19"/>
    <mergeCell ref="A22:G22"/>
    <mergeCell ref="B23:G23"/>
    <mergeCell ref="B14:G14"/>
    <mergeCell ref="B17:G17"/>
    <mergeCell ref="B20:G20"/>
  </mergeCells>
  <conditionalFormatting sqref="H7 H10 H13 H16 H19 H22">
    <cfRule type="cellIs" dxfId="15" priority="16" operator="between">
      <formula>101</formula>
      <formula>120</formula>
    </cfRule>
    <cfRule type="cellIs" dxfId="14" priority="17" operator="between">
      <formula>81</formula>
      <formula>100</formula>
    </cfRule>
    <cfRule type="cellIs" dxfId="13" priority="18" operator="between">
      <formula>61</formula>
      <formula>80</formula>
    </cfRule>
    <cfRule type="cellIs" dxfId="12" priority="19" operator="between">
      <formula>41</formula>
      <formula>60</formula>
    </cfRule>
    <cfRule type="cellIs" dxfId="11" priority="20" operator="between">
      <formula>21</formula>
      <formula>40</formula>
    </cfRule>
    <cfRule type="cellIs" dxfId="10" priority="21" operator="between">
      <formula>0</formula>
      <formula>20</formula>
    </cfRule>
  </conditionalFormatting>
  <conditionalFormatting sqref="O30">
    <cfRule type="cellIs" dxfId="9" priority="11" operator="between">
      <formula>81</formula>
      <formula>100</formula>
    </cfRule>
    <cfRule type="cellIs" dxfId="8" priority="12" operator="between">
      <formula>61</formula>
      <formula>80</formula>
    </cfRule>
    <cfRule type="cellIs" dxfId="7" priority="13" operator="between">
      <formula>41</formula>
      <formula>60</formula>
    </cfRule>
    <cfRule type="cellIs" dxfId="6" priority="14" operator="between">
      <formula>21</formula>
      <formula>40</formula>
    </cfRule>
    <cfRule type="cellIs" dxfId="5" priority="15" operator="between">
      <formula>0</formula>
      <formula>20</formula>
    </cfRule>
  </conditionalFormatting>
  <conditionalFormatting sqref="O134">
    <cfRule type="cellIs" dxfId="4" priority="1" operator="between">
      <formula>81</formula>
      <formula>100</formula>
    </cfRule>
    <cfRule type="cellIs" dxfId="3" priority="2" operator="between">
      <formula>61</formula>
      <formula>80</formula>
    </cfRule>
    <cfRule type="cellIs" dxfId="2" priority="3" operator="between">
      <formula>41</formula>
      <formula>60</formula>
    </cfRule>
    <cfRule type="cellIs" dxfId="1" priority="4" operator="between">
      <formula>21</formula>
      <formula>40</formula>
    </cfRule>
    <cfRule type="cellIs" dxfId="0" priority="5" operator="between">
      <formula>0</formula>
      <formula>20</formula>
    </cfRule>
  </conditionalFormatting>
  <pageMargins left="0.7" right="0.7" top="0.75" bottom="0.75" header="0.3" footer="0.3"/>
  <pageSetup paperSize="9" scale="5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54" r:id="rId4" name="Scroll Bar 6">
              <controlPr defaultSize="0" autoPict="0">
                <anchor moveWithCells="1">
                  <from>
                    <xdr:col>7</xdr:col>
                    <xdr:colOff>9525</xdr:colOff>
                    <xdr:row>7</xdr:row>
                    <xdr:rowOff>9525</xdr:rowOff>
                  </from>
                  <to>
                    <xdr:col>8</xdr:col>
                    <xdr:colOff>0</xdr:colOff>
                    <xdr:row>7</xdr:row>
                    <xdr:rowOff>180975</xdr:rowOff>
                  </to>
                </anchor>
              </controlPr>
            </control>
          </mc:Choice>
        </mc:AlternateContent>
        <mc:AlternateContent xmlns:mc="http://schemas.openxmlformats.org/markup-compatibility/2006">
          <mc:Choice Requires="x14">
            <control shapeId="2055" r:id="rId5" name="Scroll Bar 7">
              <controlPr defaultSize="0" autoPict="0">
                <anchor moveWithCells="1">
                  <from>
                    <xdr:col>7</xdr:col>
                    <xdr:colOff>28575</xdr:colOff>
                    <xdr:row>10</xdr:row>
                    <xdr:rowOff>28575</xdr:rowOff>
                  </from>
                  <to>
                    <xdr:col>8</xdr:col>
                    <xdr:colOff>0</xdr:colOff>
                    <xdr:row>10</xdr:row>
                    <xdr:rowOff>180975</xdr:rowOff>
                  </to>
                </anchor>
              </controlPr>
            </control>
          </mc:Choice>
        </mc:AlternateContent>
        <mc:AlternateContent xmlns:mc="http://schemas.openxmlformats.org/markup-compatibility/2006">
          <mc:Choice Requires="x14">
            <control shapeId="2056" r:id="rId6" name="Scroll Bar 8">
              <controlPr defaultSize="0" autoPict="0">
                <anchor moveWithCells="1">
                  <from>
                    <xdr:col>7</xdr:col>
                    <xdr:colOff>28575</xdr:colOff>
                    <xdr:row>13</xdr:row>
                    <xdr:rowOff>28575</xdr:rowOff>
                  </from>
                  <to>
                    <xdr:col>8</xdr:col>
                    <xdr:colOff>0</xdr:colOff>
                    <xdr:row>13</xdr:row>
                    <xdr:rowOff>180975</xdr:rowOff>
                  </to>
                </anchor>
              </controlPr>
            </control>
          </mc:Choice>
        </mc:AlternateContent>
        <mc:AlternateContent xmlns:mc="http://schemas.openxmlformats.org/markup-compatibility/2006">
          <mc:Choice Requires="x14">
            <control shapeId="2057" r:id="rId7" name="Scroll Bar 9">
              <controlPr defaultSize="0" autoPict="0">
                <anchor moveWithCells="1">
                  <from>
                    <xdr:col>7</xdr:col>
                    <xdr:colOff>9525</xdr:colOff>
                    <xdr:row>16</xdr:row>
                    <xdr:rowOff>28575</xdr:rowOff>
                  </from>
                  <to>
                    <xdr:col>8</xdr:col>
                    <xdr:colOff>0</xdr:colOff>
                    <xdr:row>16</xdr:row>
                    <xdr:rowOff>180975</xdr:rowOff>
                  </to>
                </anchor>
              </controlPr>
            </control>
          </mc:Choice>
        </mc:AlternateContent>
        <mc:AlternateContent xmlns:mc="http://schemas.openxmlformats.org/markup-compatibility/2006">
          <mc:Choice Requires="x14">
            <control shapeId="2058" r:id="rId8" name="Scroll Bar 10">
              <controlPr defaultSize="0" autoPict="0">
                <anchor moveWithCells="1">
                  <from>
                    <xdr:col>7</xdr:col>
                    <xdr:colOff>9525</xdr:colOff>
                    <xdr:row>19</xdr:row>
                    <xdr:rowOff>28575</xdr:rowOff>
                  </from>
                  <to>
                    <xdr:col>8</xdr:col>
                    <xdr:colOff>0</xdr:colOff>
                    <xdr:row>19</xdr:row>
                    <xdr:rowOff>180975</xdr:rowOff>
                  </to>
                </anchor>
              </controlPr>
            </control>
          </mc:Choice>
        </mc:AlternateContent>
        <mc:AlternateContent xmlns:mc="http://schemas.openxmlformats.org/markup-compatibility/2006">
          <mc:Choice Requires="x14">
            <control shapeId="2059" r:id="rId9" name="Scroll Bar 11">
              <controlPr defaultSize="0" autoPict="0">
                <anchor moveWithCells="1">
                  <from>
                    <xdr:col>7</xdr:col>
                    <xdr:colOff>28575</xdr:colOff>
                    <xdr:row>22</xdr:row>
                    <xdr:rowOff>9525</xdr:rowOff>
                  </from>
                  <to>
                    <xdr:col>8</xdr:col>
                    <xdr:colOff>0</xdr:colOff>
                    <xdr:row>22</xdr:row>
                    <xdr:rowOff>180975</xdr:rowOff>
                  </to>
                </anchor>
              </controlPr>
            </control>
          </mc:Choice>
        </mc:AlternateContent>
        <mc:AlternateContent xmlns:mc="http://schemas.openxmlformats.org/markup-compatibility/2006">
          <mc:Choice Requires="x14">
            <control shapeId="2066" r:id="rId10" name="Scroll Bar 18">
              <controlPr defaultSize="0" autoPict="0">
                <anchor moveWithCells="1">
                  <from>
                    <xdr:col>8</xdr:col>
                    <xdr:colOff>0</xdr:colOff>
                    <xdr:row>58</xdr:row>
                    <xdr:rowOff>28575</xdr:rowOff>
                  </from>
                  <to>
                    <xdr:col>14</xdr:col>
                    <xdr:colOff>0</xdr:colOff>
                    <xdr:row>59</xdr:row>
                    <xdr:rowOff>180975</xdr:rowOff>
                  </to>
                </anchor>
              </controlPr>
            </control>
          </mc:Choice>
        </mc:AlternateContent>
        <mc:AlternateContent xmlns:mc="http://schemas.openxmlformats.org/markup-compatibility/2006">
          <mc:Choice Requires="x14">
            <control shapeId="2067" r:id="rId11" name="Scroll Bar 19">
              <controlPr defaultSize="0" autoPict="0">
                <anchor moveWithCells="1">
                  <from>
                    <xdr:col>8</xdr:col>
                    <xdr:colOff>0</xdr:colOff>
                    <xdr:row>73</xdr:row>
                    <xdr:rowOff>28575</xdr:rowOff>
                  </from>
                  <to>
                    <xdr:col>14</xdr:col>
                    <xdr:colOff>9525</xdr:colOff>
                    <xdr:row>74</xdr:row>
                    <xdr:rowOff>180975</xdr:rowOff>
                  </to>
                </anchor>
              </controlPr>
            </control>
          </mc:Choice>
        </mc:AlternateContent>
        <mc:AlternateContent xmlns:mc="http://schemas.openxmlformats.org/markup-compatibility/2006">
          <mc:Choice Requires="x14">
            <control shapeId="2068" r:id="rId12" name="Scroll Bar 20">
              <controlPr defaultSize="0" autoPict="0">
                <anchor moveWithCells="1">
                  <from>
                    <xdr:col>8</xdr:col>
                    <xdr:colOff>0</xdr:colOff>
                    <xdr:row>88</xdr:row>
                    <xdr:rowOff>28575</xdr:rowOff>
                  </from>
                  <to>
                    <xdr:col>14</xdr:col>
                    <xdr:colOff>9525</xdr:colOff>
                    <xdr:row>90</xdr:row>
                    <xdr:rowOff>0</xdr:rowOff>
                  </to>
                </anchor>
              </controlPr>
            </control>
          </mc:Choice>
        </mc:AlternateContent>
        <mc:AlternateContent xmlns:mc="http://schemas.openxmlformats.org/markup-compatibility/2006">
          <mc:Choice Requires="x14">
            <control shapeId="2069" r:id="rId13" name="Scroll Bar 21">
              <controlPr defaultSize="0" autoPict="0">
                <anchor moveWithCells="1">
                  <from>
                    <xdr:col>8</xdr:col>
                    <xdr:colOff>0</xdr:colOff>
                    <xdr:row>103</xdr:row>
                    <xdr:rowOff>28575</xdr:rowOff>
                  </from>
                  <to>
                    <xdr:col>14</xdr:col>
                    <xdr:colOff>28575</xdr:colOff>
                    <xdr:row>105</xdr:row>
                    <xdr:rowOff>0</xdr:rowOff>
                  </to>
                </anchor>
              </controlPr>
            </control>
          </mc:Choice>
        </mc:AlternateContent>
        <mc:AlternateContent xmlns:mc="http://schemas.openxmlformats.org/markup-compatibility/2006">
          <mc:Choice Requires="x14">
            <control shapeId="2070" r:id="rId14" name="Scroll Bar 22">
              <controlPr defaultSize="0" autoPict="0">
                <anchor moveWithCells="1">
                  <from>
                    <xdr:col>8</xdr:col>
                    <xdr:colOff>0</xdr:colOff>
                    <xdr:row>119</xdr:row>
                    <xdr:rowOff>28575</xdr:rowOff>
                  </from>
                  <to>
                    <xdr:col>14</xdr:col>
                    <xdr:colOff>28575</xdr:colOff>
                    <xdr:row>121</xdr:row>
                    <xdr:rowOff>0</xdr:rowOff>
                  </to>
                </anchor>
              </controlPr>
            </control>
          </mc:Choice>
        </mc:AlternateContent>
      </controls>
    </mc:Choice>
  </mc:AlternateContent>
</worksheet>
</file>

<file path=docMetadata/LabelInfo.xml><?xml version="1.0" encoding="utf-8"?>
<clbl:labelList xmlns:clbl="http://schemas.microsoft.com/office/2020/mipLabelMetadata">
  <clbl:label id="{cf8c7287-838c-46dd-b281-b1140229e67a}" enabled="1" method="Privileged" siteId="{75e027c9-20d5-47d5-b82f-77d7cd041e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Explications</vt:lpstr>
      <vt:lpstr>Grille d'évaluation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VILLOT Jonathan</dc:creator>
  <cp:lastModifiedBy>TAN Léonard</cp:lastModifiedBy>
  <cp:lastPrinted>2017-02-17T14:17:24Z</cp:lastPrinted>
  <dcterms:created xsi:type="dcterms:W3CDTF">2015-12-09T15:26:14Z</dcterms:created>
  <dcterms:modified xsi:type="dcterms:W3CDTF">2025-09-12T21:20:17Z</dcterms:modified>
</cp:coreProperties>
</file>